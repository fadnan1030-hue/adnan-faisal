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hidePivotFieldList="true"/>
  <bookViews>
    <workbookView firstSheet="2" activeTab="2"/>
  </bookViews>
  <sheets>
    <sheet name="Sheet1" sheetId="1" r:id="rId1" state="hidden"/>
    <sheet name="Summary1" sheetId="2" r:id="rId2" state="hidden"/>
    <sheet name="Bar Chart" sheetId="3" r:id="rId3"/>
    <sheet name="KPI Weightage Status" sheetId="4" r:id="rId4"/>
    <sheet name="KPIs Summary" sheetId="5" r:id="rId5"/>
    <sheet name="Progress Summary" sheetId="6" r:id="rId6"/>
    <sheet name="Detail." sheetId="7" r:id="rId7"/>
    <sheet name="Time Sheet" sheetId="8" r:id="rId8"/>
    <sheet name="Today Jobs" sheetId="9" r:id="rId9"/>
    <sheet name="HSE KPI" sheetId="10" r:id="rId10" state="hidden"/>
    <sheet name="Sheet4" sheetId="11" r:id="rId11" state="hidden"/>
    <sheet name="Sheet3" sheetId="12" r:id="rId12" state="hidden"/>
  </sheets>
  <definedNames>
    <definedName name="NativeTimeline_Date">#N/A</definedName>
    <definedName name="_xlnm.Print_Area" localSheetId="2">'Bar Chart'!$A$1:$X$74</definedName>
    <definedName name="_xlnm.Print_Area" localSheetId="4">'KPIs Summary'!$A$1:$Z$63</definedName>
    <definedName name="_xlnm.Print_Area" localSheetId="5">'Progress Summary'!$A$1:$AH$86</definedName>
    <definedName name="_xlnm.Print_Area" localSheetId="8">'Today Jobs'!$A$4:$H$22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-* #,##0.00_-;\-* #,##0.00_-;_-* &quot;-&quot;??_-;_-@_-"/>
    <numFmt numFmtId="165" formatCode="#,##0.0"/>
    <numFmt numFmtId="166" formatCode="[$-409]d\-mmm\-yy;@"/>
    <numFmt numFmtId="167" formatCode="_-* #,##0_-;\-* #,##0_-;_-* &quot;-&quot;??_-;_-@_-"/>
    <numFmt numFmtId="168" formatCode="0.0"/>
    <numFmt numFmtId="169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E16"/>
  <sheetViews>
    <sheetView workbookViewId="0" rightToLeft="0"/>
  </sheetViews>
  <sheetData>
    <row r="3">
      <c r="C3">
        <v>46114</v>
      </c>
      <c r="D3">
        <v>0.1</v>
      </c>
      <c r="E3" t="str">
        <f>REPT(" ",C3-$C$3)&amp;REPT("█",D3)</f>
        <v/>
      </c>
    </row>
    <row r="4">
      <c r="C4">
        <v>46114</v>
      </c>
      <c r="D4">
        <v>4</v>
      </c>
      <c r="E4" t="str">
        <f>REPT("@",C4-$C$3)&amp;REPT("█",D4)</f>
        <v>████</v>
      </c>
    </row>
    <row r="5">
      <c r="C5">
        <v>46114</v>
      </c>
      <c r="D5">
        <v>6</v>
      </c>
      <c r="E5" t="str">
        <f>REPT("@",C5-$C$3)&amp;REPT("█",D5)</f>
        <v>██████</v>
      </c>
    </row>
    <row r="6">
      <c r="C6">
        <v>46114</v>
      </c>
      <c r="D6">
        <v>4</v>
      </c>
      <c r="E6" t="str">
        <f>REPT("@",C6-$C$3)&amp;REPT("█",D6)</f>
        <v>████</v>
      </c>
    </row>
    <row r="7">
      <c r="C7">
        <v>46114</v>
      </c>
      <c r="D7">
        <v>3</v>
      </c>
      <c r="E7" t="str">
        <f>REPT("@",C7-$C$3)&amp;REPT("█",D7)</f>
        <v>███</v>
      </c>
    </row>
    <row r="8">
      <c r="C8">
        <v>46114</v>
      </c>
      <c r="D8">
        <v>6</v>
      </c>
      <c r="E8" t="str">
        <f>REPT("@",C8-$C$3)&amp;REPT("█",D8)</f>
        <v>██████</v>
      </c>
    </row>
    <row r="9">
      <c r="C9">
        <v>46114</v>
      </c>
      <c r="D9">
        <v>4</v>
      </c>
      <c r="E9" t="str">
        <f>REPT("@",C9-$C$3)&amp;REPT("█",D9)</f>
        <v>████</v>
      </c>
    </row>
    <row r="10">
      <c r="C10">
        <v>46114</v>
      </c>
      <c r="D10">
        <v>4</v>
      </c>
      <c r="E10" t="str">
        <f>REPT("@",C10-$C$3)&amp;REPT("█",D10)</f>
        <v>████</v>
      </c>
    </row>
    <row r="11">
      <c r="C11">
        <v>46114</v>
      </c>
      <c r="D11">
        <v>12</v>
      </c>
      <c r="E11" t="str">
        <f>REPT("@",C11-$C$3)&amp;REPT("█",D11)</f>
        <v>████████████</v>
      </c>
    </row>
    <row r="12">
      <c r="C12">
        <v>46114</v>
      </c>
      <c r="D12">
        <v>12</v>
      </c>
      <c r="E12" t="str">
        <f>REPT("@",C12-$C$3)&amp;REPT("█",D11)</f>
        <v>████████████</v>
      </c>
    </row>
    <row r="13">
      <c r="C13">
        <v>46114</v>
      </c>
      <c r="D13">
        <v>6</v>
      </c>
      <c r="E13" t="str">
        <f>REPT("@",C13-$C$3)&amp;REPT("█",D13)</f>
        <v>██████</v>
      </c>
    </row>
    <row r="14">
      <c r="C14">
        <v>46114</v>
      </c>
      <c r="D14">
        <v>6</v>
      </c>
      <c r="E14" t="str">
        <f>REPT("@",C14-$C$3)&amp;REPT("█",D14)</f>
        <v>██████</v>
      </c>
    </row>
    <row r="15">
      <c r="C15">
        <v>46114</v>
      </c>
      <c r="D15">
        <v>9</v>
      </c>
      <c r="E15" t="str">
        <f>REPT("@",C15-$C$3)&amp;REPT("█",D15)</f>
        <v>█████████</v>
      </c>
    </row>
    <row r="16">
      <c r="C16">
        <v>46114</v>
      </c>
      <c r="D16">
        <v>9</v>
      </c>
      <c r="E16" t="str">
        <f>REPT("@",C16-$C$3)&amp;REPT("█",D16)</f>
        <v>█████████</v>
      </c>
    </row>
  </sheetData>
  <pageMargins left="0.7" right="0.7" top="0.75" bottom="0.75" header="0.3" footer="0.3"/>
  <ignoredErrors>
    <ignoredError numberStoredAsText="1" sqref="C3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8"/>
  <sheetViews>
    <sheetView workbookViewId="0" rightToLeft="0"/>
  </sheetViews>
  <sheetData>
    <row r="1">
      <c r="A1" t="str">
        <v>Overall</v>
      </c>
      <c r="H1" t="str">
        <v>Descon</v>
      </c>
      <c r="M1" t="str">
        <v>Responsibility</v>
      </c>
    </row>
    <row r="2">
      <c r="E2" t="str">
        <v>Scope</v>
      </c>
      <c r="F2" t="str">
        <v>Descon</v>
      </c>
      <c r="U2" t="str">
        <v>OQ&amp; Other</v>
      </c>
    </row>
    <row r="3">
      <c r="A3" t="str">
        <v>Row Labels</v>
      </c>
      <c r="B3" t="str">
        <v xml:space="preserve">Plan </v>
      </c>
      <c r="C3" t="str">
        <v>Actual</v>
      </c>
    </row>
    <row r="4">
      <c r="A4">
        <v>46266</v>
      </c>
      <c r="B4">
        <v>24</v>
      </c>
      <c r="C4">
        <v>14</v>
      </c>
      <c r="E4" t="str">
        <v>Row Labels</v>
      </c>
      <c r="F4" t="str">
        <v xml:space="preserve">Plan </v>
      </c>
      <c r="G4" t="str">
        <v xml:space="preserve">Actual </v>
      </c>
      <c r="J4" t="str">
        <v>Count of Plan start date</v>
      </c>
      <c r="K4" t="str">
        <v>Column Labels</v>
      </c>
      <c r="S4" t="str">
        <v>Column Labels</v>
      </c>
    </row>
    <row r="5">
      <c r="A5" t="str">
        <v>Grand Total</v>
      </c>
      <c r="B5">
        <v>24</v>
      </c>
      <c r="C5">
        <v>14</v>
      </c>
      <c r="E5">
        <v>46266</v>
      </c>
      <c r="F5">
        <v>20</v>
      </c>
      <c r="G5">
        <v>14</v>
      </c>
      <c r="J5" t="str">
        <v>Row Labels</v>
      </c>
      <c r="K5" t="str">
        <v>Descon</v>
      </c>
      <c r="L5" t="str">
        <v>OQ</v>
      </c>
      <c r="M5" t="str">
        <v>OQ Other Contractor</v>
      </c>
      <c r="N5" t="str">
        <v>Grand Total</v>
      </c>
      <c r="S5" t="str">
        <v xml:space="preserve">Plan </v>
      </c>
      <c r="U5" t="str">
        <v xml:space="preserve">  Finish</v>
      </c>
      <c r="W5" t="str">
        <v xml:space="preserve">Total Plan </v>
      </c>
      <c r="X5" t="str">
        <v>Total   Finish</v>
      </c>
    </row>
    <row r="6">
      <c r="E6" t="str">
        <v>Grand Total</v>
      </c>
      <c r="F6">
        <v>20</v>
      </c>
      <c r="G6">
        <v>14</v>
      </c>
      <c r="J6">
        <v>46266</v>
      </c>
      <c r="K6">
        <v>20</v>
      </c>
      <c r="L6">
        <v>3</v>
      </c>
      <c r="M6">
        <v>1</v>
      </c>
      <c r="N6">
        <v>24</v>
      </c>
      <c r="R6" t="str">
        <v>Row Labels</v>
      </c>
      <c r="S6" t="str">
        <v>OQ</v>
      </c>
      <c r="T6" t="str">
        <v>OQ Other Contractor</v>
      </c>
      <c r="U6" t="str">
        <v>OQ</v>
      </c>
      <c r="V6" t="str">
        <v>OQ Other Contractor</v>
      </c>
    </row>
    <row r="7">
      <c r="J7" t="str">
        <v>Grand Total</v>
      </c>
      <c r="K7">
        <v>20</v>
      </c>
      <c r="L7">
        <v>3</v>
      </c>
      <c r="M7">
        <v>1</v>
      </c>
      <c r="N7">
        <v>24</v>
      </c>
      <c r="R7">
        <v>46266</v>
      </c>
      <c r="S7">
        <v>3</v>
      </c>
      <c r="T7">
        <v>1</v>
      </c>
      <c r="W7">
        <v>4</v>
      </c>
    </row>
    <row r="8">
      <c r="R8" t="str">
        <v>Grand Total</v>
      </c>
      <c r="S8">
        <v>3</v>
      </c>
      <c r="T8">
        <v>1</v>
      </c>
      <c r="W8">
        <v>4</v>
      </c>
    </row>
  </sheetData>
  <pageMargins left="0.7" right="0.7" top="0.75" bottom="0.75" header="0.3" footer="0.3"/>
  <ignoredErrors>
    <ignoredError numberStoredAsText="1" sqref="A1:X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5"/>
  <sheetViews>
    <sheetView workbookViewId="0" rightToLeft="0"/>
  </sheetViews>
  <sheetData>
    <row r="6">
      <c r="Z6">
        <f>+TODAY()-1</f>
        <v>46270</v>
      </c>
    </row>
    <row r="11">
      <c r="A11" t="str">
        <v>Progress Summary</v>
      </c>
      <c r="P11" t="str">
        <v>Descon MP</v>
      </c>
      <c r="Q11" t="str">
        <v>Qty</v>
      </c>
      <c r="R11" t="str">
        <v>Daily MH</v>
      </c>
      <c r="S11" t="str">
        <v>Cumm MH Yesterday</v>
      </c>
      <c r="T11" t="str">
        <v>Cumm MH Today</v>
      </c>
      <c r="V11" t="str">
        <v>Date</v>
      </c>
      <c r="W11">
        <v>46235</v>
      </c>
      <c r="Z11">
        <v>30</v>
      </c>
    </row>
    <row r="12">
      <c r="A12" t="str">
        <v>Description</v>
      </c>
      <c r="B12" t="str">
        <v>Total</v>
      </c>
      <c r="E12" t="str">
        <v>PM Complaince</v>
      </c>
      <c r="H12" t="str">
        <v>CM Complaince</v>
      </c>
      <c r="K12" t="str">
        <v>SCE's Complaince</v>
      </c>
      <c r="P12" t="str">
        <v>In-Direct</v>
      </c>
      <c r="Q12">
        <v>4</v>
      </c>
      <c r="R12">
        <f>+Q12*8</f>
        <v>32</v>
      </c>
      <c r="S12">
        <v>0</v>
      </c>
      <c r="T12">
        <f>+S12+R12</f>
        <v>32</v>
      </c>
      <c r="V12" t="str">
        <v>Report #</v>
      </c>
      <c r="W12">
        <v>102</v>
      </c>
    </row>
    <row r="13">
      <c r="B13" t="str">
        <v>Planned</v>
      </c>
      <c r="C13" t="str">
        <v>Completed</v>
      </c>
      <c r="D13" t="str">
        <v>%age</v>
      </c>
      <c r="E13" t="str">
        <v>PM</v>
      </c>
      <c r="F13" t="str">
        <v>Completed</v>
      </c>
      <c r="G13" t="str">
        <v>%age</v>
      </c>
      <c r="H13" t="str">
        <v>CM</v>
      </c>
      <c r="I13" t="str">
        <v>Completed</v>
      </c>
      <c r="J13" t="str">
        <v>%age</v>
      </c>
      <c r="K13" t="str">
        <v>SCE's</v>
      </c>
      <c r="L13" t="str">
        <v>Completed</v>
      </c>
      <c r="M13" t="str">
        <v>%age</v>
      </c>
      <c r="P13" t="str">
        <v>Direct</v>
      </c>
      <c r="Q13">
        <v>6</v>
      </c>
      <c r="R13">
        <f>+Q13*8</f>
        <v>48</v>
      </c>
      <c r="S13">
        <v>0</v>
      </c>
      <c r="T13">
        <f>+'Progress Summary'!AH88</f>
        <v>246</v>
      </c>
      <c r="V13" t="str">
        <v>Total MH</v>
      </c>
      <c r="W13">
        <f>+T14</f>
        <v>278</v>
      </c>
    </row>
    <row r="14">
      <c r="A14" t="str">
        <v>Descon</v>
      </c>
      <c r="B14">
        <f>+E14+H14</f>
        <v>61</v>
      </c>
      <c r="C14">
        <f>+F14+I14</f>
        <v>51</v>
      </c>
      <c r="D14">
        <f>+C14/B14</f>
        <v>0.8360655737704918</v>
      </c>
      <c r="E14">
        <f>+COUNTIFS(Detail.!D:D,"Descon",Detail.!I:I,"ZPM")</f>
        <v>5</v>
      </c>
      <c r="F14">
        <f>+COUNTIFS(Detail.!D:D,"Descon",Detail.!I:I,"ZPM",Detail.!O:O,"&gt;0")</f>
        <v>5</v>
      </c>
      <c r="G14">
        <f>+F14/E14</f>
        <v>1</v>
      </c>
      <c r="H14">
        <f>+COUNTIFS(Detail.!D:D,"Descon",Detail.!I:I,"ZCR")</f>
        <v>56</v>
      </c>
      <c r="I14">
        <f>+COUNTIFS(Detail.!D:D,"Descon",Detail.!I:I,"ZCR",Detail.!O:O,"&gt;0")</f>
        <v>46</v>
      </c>
      <c r="J14">
        <f>+I14/H14</f>
        <v>0.8214285714285714</v>
      </c>
      <c r="K14">
        <f>COUNTIFS(Detail.!$D:$D,"Descon",Detail.!$I:$I,"ZPM",Detail.!$G:$G,"A")</f>
        <v>0</v>
      </c>
      <c r="L14">
        <f>COUNTIFS(Detail.!$D:$D,"Descon",Detail.!$I:$I,"ZPM",Detail.!$G:$G,"A",Detail.!O:O,"&gt;0")</f>
        <v>0</v>
      </c>
      <c r="M14" t="e">
        <f>+L14/K14</f>
        <v>#DIV/0!</v>
      </c>
      <c r="P14" t="str">
        <v>Total</v>
      </c>
      <c r="Q14">
        <f>SUM(Q12:Q13)</f>
        <v>10</v>
      </c>
      <c r="R14">
        <f>SUM(R12:R13)</f>
        <v>80</v>
      </c>
      <c r="S14">
        <f>SUM(S12:S13)</f>
        <v>0</v>
      </c>
      <c r="T14">
        <f>SUM(T12:T13)</f>
        <v>278</v>
      </c>
      <c r="V14" t="str">
        <v>LTI Free MH</v>
      </c>
      <c r="W14">
        <f>+W13</f>
        <v>278</v>
      </c>
    </row>
    <row r="15">
      <c r="A15" t="str">
        <v>OQ Other Contractor</v>
      </c>
      <c r="B15">
        <f>+COUNTIF(Table13[Scope],A15)</f>
        <v>3</v>
      </c>
      <c r="C15">
        <f>+COUNTIFS(Detail.!D:D,"OQ Other Contractor",Detail.!O:O,"&gt;0")</f>
        <v>0</v>
      </c>
      <c r="D15">
        <f>+C15/B15</f>
        <v>0</v>
      </c>
      <c r="E15">
        <f>+COUNTIFS(Detail.!D:D,"OQ Other Contractor",Detail.!I:I,"ZPM")</f>
        <v>0</v>
      </c>
      <c r="F15">
        <f>+COUNTIFS(Detail.!D:D,"OQ Other Contractor",Detail.!I:I,"ZPM",Detail.!O:O,"&gt;0")</f>
        <v>0</v>
      </c>
      <c r="G15">
        <v>0</v>
      </c>
      <c r="H15">
        <f>+COUNTIFS(Detail.!D:D,"OQ Other Contractor",Detail.!I:I,"ZCR")</f>
        <v>3</v>
      </c>
      <c r="I15">
        <f>+COUNTIFS(Detail.!D:D,"OQ Other Contractor",Detail.!I:I,"ZCR",Detail.!O:O,"&gt;0")</f>
        <v>0</v>
      </c>
      <c r="J15">
        <f>+I15/H15</f>
        <v>0</v>
      </c>
      <c r="K15">
        <f>COUNTIFS(Detail.!$D:$D,"OQ other Contractor",Detail.!$I:$I,"ZPM",Detail.!$G:$G,"A")</f>
        <v>0</v>
      </c>
      <c r="L15">
        <f>COUNTIFS(Detail.!$D:$D,"OQ Other Contractor",Detail.!$I:$I,"ZPM",Detail.!$G:$G,"A",Detail.!O:O,"&gt;0")</f>
        <v>0</v>
      </c>
      <c r="M15">
        <v>0</v>
      </c>
    </row>
    <row r="16">
      <c r="A16" t="str">
        <v>OQ</v>
      </c>
      <c r="B16">
        <f>+COUNTIF(Table13[Scope],A16)</f>
        <v>5</v>
      </c>
      <c r="C16">
        <f>+COUNTIFS(Detail.!D:D,"OQ",Detail.!O:O,"&gt;0")</f>
        <v>2</v>
      </c>
      <c r="D16">
        <v>0</v>
      </c>
      <c r="E16">
        <f>+COUNTIFS(Detail.!D:D,"OQ",Detail.!I:I,"ZPM")</f>
        <v>3</v>
      </c>
      <c r="F16">
        <f>+COUNTIFS(Detail.!D:D,"OQ",Detail.!I:I,"ZPM",Detail.!O:O,"&gt;0")</f>
        <v>1</v>
      </c>
      <c r="G16">
        <f>+F16/E16</f>
        <v>0.3333333333333333</v>
      </c>
      <c r="H16">
        <f>+COUNTIFS(Detail.!D:D,"OQ",Detail.!I:I,"ZCR")</f>
        <v>2</v>
      </c>
      <c r="I16">
        <f>+COUNTIFS(Detail.!D:D,"OQ",Detail.!I:I,"ZCR",Detail.!O:O,"&gt;0")</f>
        <v>1</v>
      </c>
      <c r="J16">
        <v>0</v>
      </c>
      <c r="K16">
        <f>COUNTIFS(Detail.!$D:$D,"OQ",Detail.!$I:$I,"ZPM",Detail.!$G:$G,"A")</f>
        <v>3</v>
      </c>
      <c r="L16">
        <f>COUNTIFS(Detail.!$D:$D,"OQ",Detail.!$I:$I,"ZPM",Detail.!$G:$G,"A",Detail.!O:O,"&gt;0")</f>
        <v>1</v>
      </c>
      <c r="M16">
        <f>+L16/K16</f>
        <v>0.3333333333333333</v>
      </c>
    </row>
    <row r="71">
      <c r="A71" t="str">
        <v>Highlights</v>
      </c>
    </row>
    <row r="72">
      <c r="A72" t="str">
        <v>Eqpt #</v>
      </c>
      <c r="B72" t="str">
        <v>Earliest Start date</v>
      </c>
      <c r="C72" t="str">
        <v>Earliest finish date</v>
      </c>
      <c r="D72" t="str">
        <v>Description</v>
      </c>
      <c r="H72" t="str">
        <v>Remarks</v>
      </c>
    </row>
  </sheetData>
  <mergeCells count="6">
    <mergeCell ref="K12:M12"/>
    <mergeCell ref="D72:G72"/>
    <mergeCell ref="A12:A13"/>
    <mergeCell ref="B12:D12"/>
    <mergeCell ref="E12:G12"/>
    <mergeCell ref="H12:J12"/>
  </mergeCells>
  <pageMargins left="0.7086614173228347" right="0.7086614173228347" top="0.9448818897637796" bottom="0.9448818897637796" header="0.31496062992125984" footer="0.31496062992125984"/>
  <ignoredErrors>
    <ignoredError numberStoredAsText="1" sqref="A1:Z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t="str">
        <v>ROTUINE KPI WEIGHTAGE STATUS</v>
      </c>
    </row>
    <row r="2">
      <c r="A2" t="str">
        <v>OVERALL KPI WEIGHTAGE</v>
      </c>
      <c r="B2" t="str">
        <v>Description</v>
      </c>
      <c r="C2" t="str">
        <v>Achived Weightage</v>
      </c>
    </row>
    <row r="3">
      <c r="A3">
        <v>0.25</v>
      </c>
      <c r="B3" t="str">
        <v xml:space="preserve">HSE KPI Compliace </v>
      </c>
      <c r="C3">
        <f>+A3*H32</f>
        <v>0.25</v>
      </c>
    </row>
    <row r="4">
      <c r="A4">
        <v>0.2</v>
      </c>
      <c r="B4" t="str">
        <v xml:space="preserve">QAQC KPI Compliace </v>
      </c>
      <c r="C4">
        <f>+A4*H17</f>
        <v>0.2</v>
      </c>
    </row>
    <row r="5">
      <c r="A5">
        <v>0.55</v>
      </c>
      <c r="B5" t="str">
        <v>Planning &amp; Preparation KPI</v>
      </c>
      <c r="C5" t="e">
        <f>+F9</f>
        <v>#DIV/0!</v>
      </c>
    </row>
    <row r="7">
      <c r="A7" t="str">
        <v>PLANNING KPI WEIGHTAGE</v>
      </c>
    </row>
    <row r="8">
      <c r="A8" t="str">
        <v>OVERALL KPI WEIGHTAGE</v>
      </c>
      <c r="B8" t="str">
        <v>KPI COMPLAINCE</v>
      </c>
      <c r="C8" t="str">
        <v>WEIGHTAGE (%)</v>
      </c>
      <c r="D8" t="str">
        <v>ACHIVED %</v>
      </c>
      <c r="E8" t="str">
        <v>WEIGHTAGE ACHIVED (%)</v>
      </c>
      <c r="F8" t="str">
        <v>OVERALL KPI WEIGHTAGE ACHIVED %</v>
      </c>
    </row>
    <row r="9">
      <c r="A9">
        <v>0.55</v>
      </c>
      <c r="B9" t="str">
        <v>PM Backlog</v>
      </c>
      <c r="C9" t="str">
        <v>25%</v>
      </c>
      <c r="D9">
        <f>+'KPIs Summary'!L21/'KPI Weightage Status'!C9*1</f>
        <v>1</v>
      </c>
      <c r="E9">
        <f>+C9*D9</f>
        <v>0.25</v>
      </c>
      <c r="F9" t="e">
        <f>+A9*E13</f>
        <v>#DIV/0!</v>
      </c>
    </row>
    <row r="10">
      <c r="B10" t="str">
        <v>CM Backlog</v>
      </c>
      <c r="C10" t="str">
        <v>25%</v>
      </c>
      <c r="D10">
        <f>+'KPIs Summary'!R21/'KPI Weightage Status'!C10*1</f>
        <v>1</v>
      </c>
      <c r="E10">
        <f>+C10*D10</f>
        <v>0.25</v>
      </c>
    </row>
    <row r="11">
      <c r="B11" t="str">
        <v>Weekly Frozen Schedule</v>
      </c>
      <c r="C11" t="str">
        <v>25%</v>
      </c>
      <c r="D11">
        <f>+'KPIs Summary'!F21/'KPI Weightage Status'!C11*1</f>
        <v>1</v>
      </c>
      <c r="E11">
        <f>+C11*D11</f>
        <v>0.25</v>
      </c>
    </row>
    <row r="12">
      <c r="B12" t="str">
        <v>SCE's PM</v>
      </c>
      <c r="C12" t="str">
        <v>25%</v>
      </c>
      <c r="D12" t="e">
        <f>+'KPIs Summary'!V21</f>
        <v>#DIV/0!</v>
      </c>
      <c r="E12" t="e">
        <f>+C12*D12</f>
        <v>#DIV/0!</v>
      </c>
    </row>
    <row r="13">
      <c r="E13" t="e">
        <f>SUM(E9:E12)</f>
        <v>#DIV/0!</v>
      </c>
    </row>
    <row r="14">
      <c r="A14" t="str">
        <v>QUALITY KPIs WEIGHTAGE</v>
      </c>
    </row>
    <row r="15">
      <c r="A15" t="str">
        <v>OVERALL KPI WEIGHTAGE</v>
      </c>
      <c r="B15" t="str">
        <v>Zero Leakage</v>
      </c>
      <c r="E15" t="str">
        <v>Re-Work</v>
      </c>
      <c r="H15" t="str">
        <v>OVERALL KPI WEIGHTAGE ACHIVED %</v>
      </c>
    </row>
    <row r="16">
      <c r="A16">
        <v>0.2</v>
      </c>
      <c r="B16" t="str">
        <v>Weightage</v>
      </c>
      <c r="C16" t="str">
        <v>Complaince</v>
      </c>
      <c r="D16" t="str">
        <v>Achived Weightage %</v>
      </c>
      <c r="E16" t="str">
        <v>Weightage</v>
      </c>
      <c r="F16" t="str">
        <v>Complaince</v>
      </c>
      <c r="G16" t="str">
        <v>Achived Weightage %</v>
      </c>
    </row>
    <row r="17">
      <c r="B17">
        <v>0.5</v>
      </c>
      <c r="C17">
        <f>+'KPIs Summary'!H27</f>
        <v>1</v>
      </c>
      <c r="D17">
        <f>+B17*C17</f>
        <v>0.5</v>
      </c>
      <c r="E17">
        <v>0.5</v>
      </c>
      <c r="F17">
        <f>+'KPIs Summary'!L27</f>
        <v>1</v>
      </c>
      <c r="G17">
        <f>+E17*F17</f>
        <v>0.5</v>
      </c>
      <c r="H17">
        <f>+G17+D17</f>
        <v>1</v>
      </c>
    </row>
    <row r="19">
      <c r="A19" t="str">
        <v>HSE KPIs WEIGHTAGE</v>
      </c>
    </row>
    <row r="20">
      <c r="A20" t="str">
        <v>OVERALL KPI WEIGHTAGE</v>
      </c>
      <c r="B20" t="str">
        <v>KPIs</v>
      </c>
      <c r="C20" t="str">
        <v>Score %</v>
      </c>
      <c r="D20" t="str">
        <v>Target</v>
      </c>
      <c r="E20" t="str">
        <v>Recorded</v>
      </c>
      <c r="F20" t="str">
        <v>Complaince</v>
      </c>
      <c r="G20" t="str">
        <v>Non-Complaince</v>
      </c>
      <c r="H20" t="str">
        <v>Achived Score %</v>
      </c>
      <c r="I20" t="str">
        <v>Remarks</v>
      </c>
    </row>
    <row r="21">
      <c r="A21">
        <v>0.25</v>
      </c>
      <c r="B21" t="str">
        <v>LTI</v>
      </c>
      <c r="C21">
        <v>0.15</v>
      </c>
      <c r="D21">
        <v>0</v>
      </c>
      <c r="E21">
        <v>0</v>
      </c>
      <c r="F21" t="str">
        <f>IF(E21&gt;0,"0%","100%")</f>
        <v>100%</v>
      </c>
      <c r="G21">
        <f>100%-F21</f>
        <v>0</v>
      </c>
      <c r="H21">
        <f>+C21*F21</f>
        <v>0.15</v>
      </c>
      <c r="I21" t="str">
        <v>(0 LTI) = 15% (LTI &gt; 0) = 0%</v>
      </c>
    </row>
    <row r="22">
      <c r="B22" t="str">
        <v>TRIF</v>
      </c>
      <c r="C22">
        <v>0.1</v>
      </c>
      <c r="D22">
        <v>0</v>
      </c>
      <c r="E22">
        <v>0</v>
      </c>
      <c r="F22" t="str">
        <f>IF(E22&gt;0,"0%","100%")</f>
        <v>100%</v>
      </c>
      <c r="G22">
        <f>100%-F22</f>
        <v>0</v>
      </c>
      <c r="H22">
        <f>+C22*F22</f>
        <v>0.1</v>
      </c>
      <c r="I22" t="str">
        <v>(TRIF =&lt; 0.5) = 10% (TRIF &gt; 0.5) = 0% (TRIF &gt;1.0) = -5%</v>
      </c>
    </row>
    <row r="23">
      <c r="B23" t="str">
        <v>PTW compliance</v>
      </c>
      <c r="C23">
        <v>0.15</v>
      </c>
      <c r="D23">
        <v>0</v>
      </c>
      <c r="E23">
        <v>0</v>
      </c>
      <c r="F23" t="str">
        <f>IF(E23&gt;0,"0%","100%")</f>
        <v>100%</v>
      </c>
      <c r="G23">
        <f>100%-F23</f>
        <v>0</v>
      </c>
      <c r="H23">
        <f>+C23*F23</f>
        <v>0.15</v>
      </c>
      <c r="I23" t="str">
        <v>(Compliance &gt; = 90%) = 15% (Compliance &gt; 85%) = 12% (Compliance &gt; 80%) = 8% (Compliance &lt; 80%) = 0%</v>
      </c>
    </row>
    <row r="24" xml:space="preserve">
      <c r="B24" t="str">
        <v>LSR #4, 8, 12 violations</v>
      </c>
      <c r="C24">
        <v>0.1</v>
      </c>
      <c r="D24">
        <v>0</v>
      </c>
      <c r="E24">
        <v>0</v>
      </c>
      <c r="F24" t="str">
        <f>IF(E24&gt;0,"0%","100%")</f>
        <v>100%</v>
      </c>
      <c r="G24">
        <f>100%-F24</f>
        <v>0</v>
      </c>
      <c r="H24">
        <f>+C24*F24</f>
        <v>0.1</v>
      </c>
      <c r="I24" t="str" xml:space="preserve">
        <v xml:space="preserve">(0 violation) = 10% (1 violation) = 8% (2 violation) = 5%_x000d_
(violation &gt; 2) = 0%</v>
      </c>
    </row>
    <row r="25">
      <c r="B25" t="str">
        <v xml:space="preserve">Other LSRs </v>
      </c>
      <c r="C25">
        <v>0.05</v>
      </c>
      <c r="D25">
        <v>0</v>
      </c>
      <c r="E25">
        <v>0</v>
      </c>
      <c r="F25" t="str">
        <f>IF(E25&gt;0,"0%","100%")</f>
        <v>100%</v>
      </c>
      <c r="G25">
        <f>100%-F25</f>
        <v>0</v>
      </c>
      <c r="H25">
        <f>+C25*F25</f>
        <v>0.05</v>
      </c>
      <c r="I25" t="str">
        <v>(100% compliance) = 5% (compliance &gt;= 90%) = 3% (compliance &lt; 90%) = 0%</v>
      </c>
    </row>
    <row r="26">
      <c r="B26" t="str">
        <v xml:space="preserve">LSR violations closeout </v>
      </c>
      <c r="C26">
        <v>0.1</v>
      </c>
      <c r="D26">
        <v>0</v>
      </c>
      <c r="E26">
        <v>0</v>
      </c>
      <c r="F26" t="str">
        <f>IF(E26&gt;0,"0%","100%")</f>
        <v>100%</v>
      </c>
      <c r="G26">
        <f>100%-F26</f>
        <v>0</v>
      </c>
      <c r="H26">
        <f>+C26*F26</f>
        <v>0.1</v>
      </c>
      <c r="I26" t="str">
        <v>(100% closeout) = 10% (closeout &gt; 95%) = 6% (closeout &lt; 95%) = 0%</v>
      </c>
    </row>
    <row r="27" xml:space="preserve">
      <c r="B27" t="str">
        <v>Safety observations- 5/month</v>
      </c>
      <c r="C27">
        <v>0.1</v>
      </c>
      <c r="D27">
        <v>5</v>
      </c>
      <c r="E27">
        <v>5</v>
      </c>
      <c r="F27">
        <f>+E27/D27</f>
        <v>1</v>
      </c>
      <c r="G27">
        <f>100%-F27</f>
        <v>0</v>
      </c>
      <c r="H27">
        <f>+C27*F27</f>
        <v>0.1</v>
      </c>
      <c r="I27" t="str" xml:space="preserve">
        <v xml:space="preserve">(100% compliance) = 10% (compliance &gt;= 90%) = 6%_x000d_
(compliance &lt; 90%) = 0%</v>
      </c>
    </row>
    <row r="28">
      <c r="B28" t="str">
        <v>Safety walk = 2/month</v>
      </c>
      <c r="C28">
        <v>0.1</v>
      </c>
      <c r="D28">
        <v>2</v>
      </c>
      <c r="E28">
        <v>2</v>
      </c>
      <c r="F28">
        <f>+E28/D28</f>
        <v>1</v>
      </c>
      <c r="G28">
        <f>100%-F28</f>
        <v>0</v>
      </c>
      <c r="H28">
        <f>+C28*F28</f>
        <v>0.1</v>
      </c>
      <c r="I28" t="str">
        <v>(2 safety walk) = 10% (safety walk &lt; 2) = 0%</v>
      </c>
    </row>
    <row r="29">
      <c r="B29" t="str">
        <v>Vehicles incidents = 0</v>
      </c>
      <c r="C29">
        <v>0.05</v>
      </c>
      <c r="D29">
        <v>0</v>
      </c>
      <c r="E29">
        <v>0</v>
      </c>
      <c r="F29" t="str">
        <f>IF(E29&gt;0,"0%","100%")</f>
        <v>100%</v>
      </c>
      <c r="G29">
        <f>100%-F29</f>
        <v>0</v>
      </c>
      <c r="H29">
        <f>+C29*F29</f>
        <v>0.05</v>
      </c>
      <c r="I29" t="str">
        <v>(0 Vehicles incident) = 5% (1 Vehicles incident) = 3% (Vehicles incident &gt; 1) = 0%</v>
      </c>
    </row>
    <row r="30">
      <c r="B30" t="str">
        <v>Security violations = 0</v>
      </c>
      <c r="C30">
        <v>0.05</v>
      </c>
      <c r="D30">
        <v>0</v>
      </c>
      <c r="E30">
        <v>0</v>
      </c>
      <c r="F30" t="str">
        <f>IF(E30&gt;0,"0%","100%")</f>
        <v>100%</v>
      </c>
      <c r="G30">
        <f>100%-F30</f>
        <v>0</v>
      </c>
      <c r="H30">
        <f>+C30*F30</f>
        <v>0.05</v>
      </c>
      <c r="I30" t="str">
        <v>(0 Security violation) = 5% (1 Security violation) = 3% (Security violation &gt; 1) = 0%</v>
      </c>
    </row>
    <row r="31" xml:space="preserve">
      <c r="B31" t="str">
        <v>Oil/Chemical spill = 0</v>
      </c>
      <c r="C31">
        <v>0.05</v>
      </c>
      <c r="D31">
        <v>0</v>
      </c>
      <c r="E31">
        <v>0</v>
      </c>
      <c r="F31" t="str">
        <f>IF(E31&gt;0,"0%","100%")</f>
        <v>100%</v>
      </c>
      <c r="G31">
        <f>100%-F31</f>
        <v>0</v>
      </c>
      <c r="H31">
        <f>+C31*F31</f>
        <v>0.05</v>
      </c>
      <c r="I31" t="str" xml:space="preserve">
        <v xml:space="preserve">(0 Oil/Chemical spill) = 5%_x000d_
(1 Oil/Chemical spill) = 3% (Oil/Chemical spill &gt; 1) = 0%</v>
      </c>
    </row>
    <row r="32">
      <c r="H32">
        <f>SUM(H21:H31)</f>
        <v>1</v>
      </c>
    </row>
  </sheetData>
  <mergeCells count="9">
    <mergeCell ref="A1:C1"/>
    <mergeCell ref="A9:A12"/>
    <mergeCell ref="A19:I19"/>
    <mergeCell ref="A21:A31"/>
    <mergeCell ref="H15:H16"/>
    <mergeCell ref="A7:F7"/>
    <mergeCell ref="A14:H14"/>
    <mergeCell ref="A16:A17"/>
    <mergeCell ref="F9:F12"/>
  </mergeCells>
  <pageMargins left="0.7" right="0.7" top="0.75" bottom="0.75" header="0.3" footer="0.3"/>
  <ignoredErrors>
    <ignoredError numberStoredAsText="1" sqref="A1:K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60"/>
  <sheetViews>
    <sheetView workbookViewId="0" rightToLeft="0"/>
  </sheetViews>
  <sheetData>
    <row r="6">
      <c r="AB6">
        <f>+TODAY()-1</f>
        <v>46270</v>
      </c>
    </row>
    <row r="9">
      <c r="A9" t="str">
        <v>Weekly Planning KPIs</v>
      </c>
    </row>
    <row r="10">
      <c r="A10" t="str">
        <v>Description</v>
      </c>
      <c r="B10" t="str">
        <v>Frozen Schedule</v>
      </c>
      <c r="G10" t="str">
        <v>PM Complaince</v>
      </c>
      <c r="M10" t="str">
        <v>CM Complaince</v>
      </c>
      <c r="S10" t="str">
        <v>SCE's Complaince</v>
      </c>
    </row>
    <row r="11">
      <c r="B11" t="str">
        <v>Frozen Sch</v>
      </c>
      <c r="C11" t="str">
        <v>Completed</v>
      </c>
      <c r="D11" t="str">
        <v>Target %age</v>
      </c>
      <c r="E11" t="str">
        <v>%age</v>
      </c>
      <c r="F11" t="str">
        <v>KPI Weightage %</v>
      </c>
      <c r="G11" t="str">
        <v>Planned Mhrs (Not Completed)</v>
      </c>
      <c r="H11" t="str">
        <v>Available Mhrs Per Week</v>
      </c>
      <c r="I11" t="str">
        <v>Target</v>
      </c>
      <c r="J11" t="str">
        <v>Actual Man Weeks</v>
      </c>
      <c r="K11" t="str">
        <v>Status</v>
      </c>
      <c r="L11" t="str">
        <v>%age</v>
      </c>
      <c r="M11" t="str">
        <v>Planned Mhrs (Not Completed)</v>
      </c>
      <c r="N11" t="str">
        <v>Available Mhrs Per Week</v>
      </c>
      <c r="O11" t="str">
        <v>Target</v>
      </c>
      <c r="P11" t="str">
        <v>Actual Man Weeks</v>
      </c>
      <c r="Q11" t="str">
        <v>Status</v>
      </c>
      <c r="R11" t="str">
        <v>%age</v>
      </c>
      <c r="S11" t="str">
        <v>SCE's</v>
      </c>
      <c r="T11" t="str">
        <v>Completed</v>
      </c>
      <c r="U11" t="str">
        <v>Target %age</v>
      </c>
      <c r="V11" t="str">
        <v>%age</v>
      </c>
      <c r="W11" t="str">
        <v>Remarks</v>
      </c>
    </row>
    <row r="12">
      <c r="A12" t="str">
        <v>Week1</v>
      </c>
      <c r="B12">
        <f>+'Progress Summary'!B16</f>
        <v>61</v>
      </c>
      <c r="C12">
        <f>+'Progress Summary'!C16</f>
        <v>51</v>
      </c>
      <c r="D12" t="str">
        <v>&gt;=80%</v>
      </c>
      <c r="E12">
        <f>+C12/B12</f>
        <v>0.8360655737704918</v>
      </c>
      <c r="F12">
        <f>IF(C12/B12&gt;=0.8,25%,IF(C12/B12&gt;=0.6,25%*((C12/B12)-0.6)/0.2,0))</f>
        <v>0.25</v>
      </c>
      <c r="G12" cm="1">
        <f t="array" ref="G12">+SUM(SUMIFS(Detail.!$Q:$Q,Detail.!$D:$D,{"Descon","Reschedule"},Detail.!$I:$I,"ZPM",Detail.!$Z:$Z,"W1",Detail.!$O:$O,""))</f>
        <v>0</v>
      </c>
      <c r="H12">
        <f>5*48</f>
        <v>240</v>
      </c>
      <c r="I12" t="str">
        <v>&lt;=2 man Week</v>
      </c>
      <c r="J12">
        <f>+G12/H12</f>
        <v>0</v>
      </c>
      <c r="K12" t="str" cm="1">
        <f t="array" ref="K12">IFS(J12&gt;2,"Non-Complaince",J12&lt;=2,"Complaince")</f>
        <v>Complaince</v>
      </c>
      <c r="L12">
        <f>IF(J12&lt;=2,25%,IF(J12&lt;=4,25%*(4-J12)/2,0))</f>
        <v>0.25</v>
      </c>
      <c r="M12" cm="1">
        <f t="array" ref="M12">+SUM(SUMIFS(Detail.!$Q:$Q,Detail.!$D:$D,{"Descon","Reschedule"},Detail.!$I:$I,"ZCR",Detail.!$Z:$Z,"W1",Detail.!$O:$O,""))</f>
        <v>42.1</v>
      </c>
      <c r="N12">
        <f>5*48</f>
        <v>240</v>
      </c>
      <c r="O12" t="str">
        <v>&lt;=4 man Week</v>
      </c>
      <c r="P12">
        <f>+M12/N12</f>
        <v>0.17541666666666667</v>
      </c>
      <c r="Q12" t="str" cm="1">
        <f t="array" ref="Q12">IFS(P12&gt;4,"Non-Complaince",P12&lt;=4,"Complaince")</f>
        <v>Complaince</v>
      </c>
      <c r="R12">
        <f>IF(P12&lt;=4,25%,IF(P12&lt;=6,25%*(6-P12)/2,0))</f>
        <v>0.25</v>
      </c>
      <c r="S12">
        <f>COUNTIFS(Detail.!$D:$D,"Descon",Detail.!$I:$I,"ZPM",Detail.!$G:$G,"A",Detail.!Z:Z,"W1")</f>
        <v>0</v>
      </c>
      <c r="T12">
        <f>COUNTIFS(Detail.!$D:$D,"Descon",Detail.!$I:$I,"ZPM",Detail.!$G:$G,"A",Detail.!$O:$O,"&gt;0",Detail.!Z:Z,"W1")</f>
        <v>0</v>
      </c>
      <c r="U12">
        <v>1</v>
      </c>
      <c r="V12" t="e">
        <f>+T12/S12</f>
        <v>#DIV/0!</v>
      </c>
    </row>
    <row r="13">
      <c r="A13" t="str">
        <v>Week2</v>
      </c>
      <c r="B13">
        <f>+'Progress Summary'!B17</f>
        <v>0</v>
      </c>
      <c r="C13">
        <f>+'Progress Summary'!C17</f>
        <v>0</v>
      </c>
      <c r="D13" t="str">
        <v>&gt;=80%</v>
      </c>
      <c r="E13" t="e">
        <f>+C13/B13</f>
        <v>#DIV/0!</v>
      </c>
      <c r="F13" t="e">
        <f>IF(C13/B13&gt;=0.8,25%,IF(C13/B13&gt;=0.6,25%*((C13/B13)-0.6)/0.2,0))</f>
        <v>#DIV/0!</v>
      </c>
      <c r="G13" cm="1">
        <f t="array" ref="G13">+SUM(SUMIFS(Detail.!$Q:$Q,Detail.!$D:$D,{"Descon","Reschedule"},Detail.!$I:$I,"ZPM",Detail.!$Z:$Z,"W2",Detail.!$O:$O,""))</f>
        <v>0</v>
      </c>
      <c r="H13">
        <f>5*48</f>
        <v>240</v>
      </c>
      <c r="I13" t="str">
        <v>&lt;=2 man Week</v>
      </c>
      <c r="J13">
        <f>+G13/H13</f>
        <v>0</v>
      </c>
      <c r="K13" t="str" cm="1">
        <f t="array" ref="K13">IFS(J13&gt;2,"Non-Complaince",J13&lt;=2,"Complaince")</f>
        <v>Complaince</v>
      </c>
      <c r="L13">
        <f>IF(J13&lt;=2,25%,IF(J13&lt;=4,25%*(4-J13)/2,0))</f>
        <v>0.25</v>
      </c>
      <c r="M13" cm="1">
        <f t="array" ref="M13">+SUM(SUMIFS(Detail.!$Q:$Q,Detail.!$D:$D,{"Descon","Reschedule"},Detail.!$I:$I,"ZCR",Detail.!$Z:$Z,"W2",Detail.!$O:$O,""))</f>
        <v>0</v>
      </c>
      <c r="N13">
        <f>5*48</f>
        <v>240</v>
      </c>
      <c r="O13" t="str">
        <v>&lt;=4 man Week</v>
      </c>
      <c r="P13">
        <f>+M13/N13</f>
        <v>0</v>
      </c>
      <c r="Q13" t="str" cm="1">
        <f t="array" ref="Q13">IFS(P13&gt;4,"Non-Complaince",P13&lt;=4,"Complaince")</f>
        <v>Complaince</v>
      </c>
      <c r="R13">
        <f>IF(P13&lt;=4,25%,IF(P13&lt;=6,25%*(6-P13)/2,0))</f>
        <v>0.25</v>
      </c>
      <c r="S13">
        <f>COUNTIFS(Detail.!$D:$D,"Descon",Detail.!$I:$I,"ZPM",Detail.!$G:$G,"A",Detail.!Z:Z,"W2")</f>
        <v>0</v>
      </c>
      <c r="T13">
        <f>COUNTIFS(Detail.!$D:$D,"Descon",Detail.!$I:$I,"ZPM",Detail.!$G:$G,"A",Detail.!$O:$O,"&gt;0",Detail.!Z:Z,"W2")</f>
        <v>0</v>
      </c>
      <c r="U13">
        <v>1</v>
      </c>
      <c r="V13" t="e">
        <f>+T13/S13</f>
        <v>#DIV/0!</v>
      </c>
    </row>
    <row r="14">
      <c r="A14" t="str">
        <v>Week3</v>
      </c>
      <c r="B14">
        <f>+'Progress Summary'!B18</f>
        <v>0</v>
      </c>
      <c r="C14">
        <f>+'Progress Summary'!C18</f>
        <v>0</v>
      </c>
      <c r="D14" t="str">
        <v>&gt;=80%</v>
      </c>
      <c r="E14" t="e">
        <f>+C14/B14</f>
        <v>#DIV/0!</v>
      </c>
      <c r="F14" t="e">
        <f>IF(C14/B14&gt;=0.8,25%,IF(C14/B14&gt;=0.6,25%*((C14/B14)-0.6)/0.2,0))</f>
        <v>#DIV/0!</v>
      </c>
      <c r="G14" cm="1">
        <f t="array" ref="G14">+SUM(SUMIFS(Detail.!$Q:$Q,Detail.!$D:$D,{"Descon","Reschedule"},Detail.!$I:$I,"ZPM",Detail.!$Z:$Z,"W3",Detail.!$O:$O,""))</f>
        <v>0</v>
      </c>
      <c r="H14">
        <f>5*48</f>
        <v>240</v>
      </c>
      <c r="I14" t="str">
        <v>&lt;=2 man Week</v>
      </c>
      <c r="J14">
        <f>+G14/H14</f>
        <v>0</v>
      </c>
      <c r="K14" t="str" cm="1">
        <f t="array" ref="K14">IFS(J14&gt;2,"Non-Complaince",J14&lt;=2,"Complaince")</f>
        <v>Complaince</v>
      </c>
      <c r="L14">
        <f>IF(J14&lt;=2,25%,IF(J14&lt;=4,25%*(4-J14)/2,0))</f>
        <v>0.25</v>
      </c>
      <c r="M14" cm="1">
        <f t="array" ref="M14">+SUM(SUMIFS(Detail.!$Q:$Q,Detail.!$D:$D,{"Descon","Reschedule"},Detail.!$I:$I,"ZCR",Detail.!$Z:$Z,"W3",Detail.!$O:$O,""))</f>
        <v>0</v>
      </c>
      <c r="N14">
        <f>5*48</f>
        <v>240</v>
      </c>
      <c r="O14" t="str">
        <v>&lt;=4 man Week</v>
      </c>
      <c r="P14">
        <f>+M14/N14</f>
        <v>0</v>
      </c>
      <c r="Q14" t="str" cm="1">
        <f t="array" ref="Q14">IFS(P14&gt;4,"Non-Complaince",P14&lt;=4,"Complaince")</f>
        <v>Complaince</v>
      </c>
      <c r="R14">
        <f>IF(P14&lt;=4,25%,IF(P14&lt;=6,25%*(6-P14)/2,0))</f>
        <v>0.25</v>
      </c>
      <c r="S14">
        <f>COUNTIFS(Detail.!$D:$D,"Descon",Detail.!$I:$I,"ZPM",Detail.!$G:$G,"A",Detail.!Z:Z,"W3")</f>
        <v>0</v>
      </c>
      <c r="T14">
        <f>COUNTIFS(Detail.!$D:$D,"Descon",Detail.!$I:$I,"ZPM",Detail.!$G:$G,"A",Detail.!$O:$O,"&gt;0",Detail.!Z:Z,"W3")</f>
        <v>0</v>
      </c>
      <c r="U14">
        <v>1</v>
      </c>
      <c r="V14" t="e">
        <f>+T14/S14</f>
        <v>#DIV/0!</v>
      </c>
    </row>
    <row r="15">
      <c r="A15" t="str">
        <v>Week4</v>
      </c>
      <c r="B15">
        <f>+'Progress Summary'!B19</f>
        <v>0</v>
      </c>
      <c r="C15">
        <f>+'Progress Summary'!C19</f>
        <v>0</v>
      </c>
      <c r="D15" t="str">
        <v>&gt;=80%</v>
      </c>
      <c r="E15" t="e">
        <f>+C15/B15</f>
        <v>#DIV/0!</v>
      </c>
      <c r="F15" t="e">
        <f>IF(C15/B15&gt;=0.8,25%,IF(C15/B15&gt;=0.6,25%*((C15/B15)-0.6)/0.2,0))</f>
        <v>#DIV/0!</v>
      </c>
      <c r="G15" cm="1">
        <f t="array" ref="G15">+SUM(SUMIFS(Detail.!$Q:$Q,Detail.!$D:$D,{"Descon","Reschedule"},Detail.!$I:$I,"ZPM",Detail.!$Z:$Z,"W4",Detail.!$O:$O,""))</f>
        <v>0</v>
      </c>
      <c r="H15">
        <f>5*48</f>
        <v>240</v>
      </c>
      <c r="I15" t="str">
        <v>&lt;=2 man Week</v>
      </c>
      <c r="J15">
        <f>+G15/H15</f>
        <v>0</v>
      </c>
      <c r="K15" t="str" cm="1">
        <f t="array" ref="K15">IFS(J15&gt;2,"Non-Complaince",J15&lt;=2,"Complaince")</f>
        <v>Complaince</v>
      </c>
      <c r="L15">
        <f>IF(J15&lt;=2,25%,IF(J15&lt;=4,25%*(4-J15)/2,0))</f>
        <v>0.25</v>
      </c>
      <c r="M15" cm="1">
        <f t="array" ref="M15">+SUM(SUMIFS(Detail.!$Q:$Q,Detail.!$D:$D,{"Descon","Reschedule"},Detail.!$I:$I,"ZCR",Detail.!$Z:$Z,"W4",Detail.!$O:$O,""))</f>
        <v>0</v>
      </c>
      <c r="N15">
        <f>5*48</f>
        <v>240</v>
      </c>
      <c r="O15" t="str">
        <v>&lt;=4 man Week</v>
      </c>
      <c r="P15">
        <f>+M15/N15</f>
        <v>0</v>
      </c>
      <c r="Q15" t="str" cm="1">
        <f t="array" ref="Q15">IFS(P15&gt;4,"Non-Complaince",P15&lt;=4,"Complaince")</f>
        <v>Complaince</v>
      </c>
      <c r="R15">
        <f>IF(P15&lt;=4,25%,IF(P15&lt;=6,25%*(6-P15)/2,0))</f>
        <v>0.25</v>
      </c>
      <c r="S15">
        <f>COUNTIFS(Detail.!$D:$D,"Descon",Detail.!$I:$I,"ZPM",Detail.!$G:$G,"A",Detail.!Z:Z,"W4")</f>
        <v>0</v>
      </c>
      <c r="T15">
        <f>COUNTIFS(Detail.!$D:$D,"Descon",Detail.!$I:$I,"ZPM",Detail.!$G:$G,"A",Detail.!$O:$O,"&gt;0",Detail.!Z:Z,"W4")</f>
        <v>0</v>
      </c>
      <c r="U15">
        <v>1</v>
      </c>
      <c r="V15" t="e">
        <f>+T15/S15</f>
        <v>#DIV/0!</v>
      </c>
    </row>
    <row r="16">
      <c r="A16" t="str">
        <v>Week5</v>
      </c>
      <c r="B16">
        <f>+'Progress Summary'!B20</f>
        <v>0</v>
      </c>
      <c r="C16">
        <f>+'Progress Summary'!C20</f>
        <v>0</v>
      </c>
      <c r="D16" t="str">
        <v>&gt;=80%</v>
      </c>
      <c r="E16" t="e">
        <f>+C16/B16</f>
        <v>#DIV/0!</v>
      </c>
      <c r="F16" t="e">
        <f>IF(C16/B16&gt;=0.8,25%,IF(C16/B16&gt;=0.6,25%*((C16/B16)-0.6)/0.2,0))</f>
        <v>#DIV/0!</v>
      </c>
      <c r="G16" cm="1">
        <f t="array" ref="G16">+SUM(SUMIFS(Detail.!$Q:$Q,Detail.!$D:$D,{"Descon","Reschedule"},Detail.!$I:$I,"ZPM",Detail.!$Z:$Z,"W5",Detail.!$O:$O,""))</f>
        <v>0</v>
      </c>
      <c r="H16">
        <f>5*48</f>
        <v>240</v>
      </c>
      <c r="I16" t="str">
        <v>&lt;=2 man Week</v>
      </c>
      <c r="J16">
        <f>+G16/H16</f>
        <v>0</v>
      </c>
      <c r="K16" t="str" cm="1">
        <f t="array" ref="K16">IFS(J16&gt;2,"Non-Complaince",J16&lt;=2,"Complaince")</f>
        <v>Complaince</v>
      </c>
      <c r="L16">
        <f>IF(J16&lt;=2,25%,IF(J16&lt;=4,25%*(4-J16)/2,0))</f>
        <v>0.25</v>
      </c>
      <c r="M16" cm="1">
        <f t="array" ref="M16">+SUM(SUMIFS(Detail.!$Q:$Q,Detail.!$D:$D,{"Descon","Reschedule"},Detail.!$I:$I,"ZCR",Detail.!$Z:$Z,"W5",Detail.!$O:$O,""))</f>
        <v>0</v>
      </c>
      <c r="N16">
        <f>5*48</f>
        <v>240</v>
      </c>
      <c r="O16" t="str">
        <v>&lt;=4 man Week</v>
      </c>
      <c r="P16">
        <f>+M16/N16</f>
        <v>0</v>
      </c>
      <c r="Q16" t="str" cm="1">
        <f t="array" ref="Q16">IFS(P16&gt;4,"Non-Complaince",P16&lt;=4,"Complaince")</f>
        <v>Complaince</v>
      </c>
      <c r="R16">
        <f>IF(P16&lt;=4,25%,IF(P16&lt;=6,25%*(6-P16)/2,0))</f>
        <v>0.25</v>
      </c>
      <c r="S16">
        <f>COUNTIFS(Detail.!$D:$D,"Descon",Detail.!$I:$I,"ZPM",Detail.!$G:$G,"A",Detail.!Z:Z,"W5")</f>
        <v>0</v>
      </c>
      <c r="T16">
        <f>COUNTIFS(Detail.!$D:$D,"Descon",Detail.!$I:$I,"ZPM",Detail.!$G:$G,"A",Detail.!$O:$O,"&gt;0",Detail.!Z:Z,"W5")</f>
        <v>0</v>
      </c>
      <c r="U16">
        <v>1</v>
      </c>
      <c r="V16" t="e">
        <f>+T16/S16</f>
        <v>#DIV/0!</v>
      </c>
    </row>
    <row r="17">
      <c r="A17" t="str">
        <v>Monthly Cumulative Planning KPIs</v>
      </c>
      <c r="AB17">
        <v>12</v>
      </c>
    </row>
    <row r="18">
      <c r="A18" t="str">
        <v>Description</v>
      </c>
      <c r="B18" t="str">
        <v>Total</v>
      </c>
      <c r="G18" t="str">
        <v>PM Complaince</v>
      </c>
      <c r="M18" t="str">
        <v>CM Complaince</v>
      </c>
      <c r="S18" t="str">
        <v>SCE's Complaince</v>
      </c>
    </row>
    <row r="19">
      <c r="B19" t="str">
        <v>Weekly Frozen</v>
      </c>
      <c r="G19" t="str">
        <v>PM Complaince</v>
      </c>
      <c r="M19" t="str">
        <v>CM Complaince</v>
      </c>
      <c r="S19" t="str">
        <v>SCE's Complaince</v>
      </c>
    </row>
    <row r="20">
      <c r="B20" t="str">
        <v>Plan</v>
      </c>
      <c r="C20" t="str">
        <v>Done</v>
      </c>
      <c r="D20" t="str">
        <v>Target %age</v>
      </c>
      <c r="E20" t="str">
        <v>Achived %age</v>
      </c>
      <c r="F20" t="str">
        <v>KPI Weightage %</v>
      </c>
      <c r="G20" t="str">
        <v>Planned Mhrs (Not Completed)</v>
      </c>
      <c r="H20" t="str">
        <v>Available Mhrs Per Week</v>
      </c>
      <c r="I20" t="str">
        <v>Target</v>
      </c>
      <c r="J20" t="str">
        <v>Actual Man Weeks</v>
      </c>
      <c r="K20" t="str">
        <v>Status</v>
      </c>
      <c r="L20" t="str">
        <v>%age</v>
      </c>
      <c r="M20" t="str">
        <v>Planned Mhrs (Not Completed)</v>
      </c>
      <c r="N20" t="str">
        <v>Available Mhrs Per Week</v>
      </c>
      <c r="O20" t="str">
        <v>Target</v>
      </c>
      <c r="P20" t="str">
        <v>Actual Man Weeks</v>
      </c>
      <c r="Q20" t="str">
        <v>Status</v>
      </c>
      <c r="R20" t="str">
        <v>%age</v>
      </c>
      <c r="S20" t="str">
        <v>Plan</v>
      </c>
      <c r="T20" t="str">
        <v>Completed</v>
      </c>
      <c r="U20" t="str">
        <v>Target %age</v>
      </c>
      <c r="V20" t="str">
        <v>%age</v>
      </c>
      <c r="W20" t="str">
        <v>Remarks</v>
      </c>
    </row>
    <row r="21">
      <c r="A21" t="str">
        <v>Monthly</v>
      </c>
      <c r="B21">
        <f>SUM(B12:B16)</f>
        <v>61</v>
      </c>
      <c r="C21">
        <f>SUM(C12:C16)</f>
        <v>51</v>
      </c>
      <c r="D21" t="str">
        <v>&gt;=80%</v>
      </c>
      <c r="E21">
        <f>+C21/B21</f>
        <v>0.8360655737704918</v>
      </c>
      <c r="F21">
        <f>IF(C21/B21&gt;=0.8,25%,IF(C21/B21&gt;=0.6,25%*((C21/B21)-0.6)/0.2,0))</f>
        <v>0.25</v>
      </c>
      <c r="G21">
        <f>+SUM(G12:G16)</f>
        <v>0</v>
      </c>
      <c r="H21">
        <f>5*48</f>
        <v>240</v>
      </c>
      <c r="I21" t="str">
        <v>&lt;=2 man Week</v>
      </c>
      <c r="J21">
        <f>+G21/H21</f>
        <v>0</v>
      </c>
      <c r="K21" t="str" cm="1">
        <f t="array" ref="K21">IFS(J21&gt;2,"Non-Complaince",J21&lt;=2,"Complaince")</f>
        <v>Complaince</v>
      </c>
      <c r="L21">
        <f>IF(J21&lt;=2,25%,IF(J21&lt;=4,25%*(4-J21)/2,0))</f>
        <v>0.25</v>
      </c>
      <c r="M21">
        <f>+SUM(M12:M16)</f>
        <v>42.1</v>
      </c>
      <c r="N21">
        <f>5*48</f>
        <v>240</v>
      </c>
      <c r="O21" t="str">
        <v>&lt;=4 man Week</v>
      </c>
      <c r="P21">
        <f>+M21/N21</f>
        <v>0.17541666666666667</v>
      </c>
      <c r="Q21" t="str" cm="1">
        <f t="array" ref="Q21">IFS(P21&gt;4,"Non-Complaince",P21&lt;=4,"Complaince")</f>
        <v>Complaince</v>
      </c>
      <c r="R21">
        <f>IF(P21&lt;=4,25%,IF(P21&lt;=6,25%*(6-P21)/2,0))</f>
        <v>0.25</v>
      </c>
      <c r="S21">
        <f>COUNTIFS(Detail.!$D:$D,"Descon",Detail.!$I:$I,"ZPM",Detail.!$G:$G,"A")</f>
        <v>0</v>
      </c>
      <c r="T21">
        <f>COUNTIFS(Detail.!$D:$D,"Descon",Detail.!$I:$I,"ZPM",Detail.!$G:$G,"A",Detail.!$O:$O,"&gt;0")</f>
        <v>0</v>
      </c>
      <c r="U21">
        <v>1</v>
      </c>
      <c r="V21" t="e">
        <f>+T21/S21</f>
        <v>#DIV/0!</v>
      </c>
    </row>
    <row r="24">
      <c r="A24" t="str">
        <v>QUALITY KPIs &amp; COMPLAINCE</v>
      </c>
    </row>
    <row r="25">
      <c r="A25" t="str">
        <v>Description</v>
      </c>
      <c r="B25" t="str">
        <v>Total</v>
      </c>
      <c r="E25" t="str">
        <v>Zero Leakage</v>
      </c>
      <c r="I25" t="str">
        <v>Re-Work</v>
      </c>
    </row>
    <row r="26">
      <c r="B26" t="str">
        <v>Planned</v>
      </c>
      <c r="C26" t="str">
        <v>Completed</v>
      </c>
      <c r="D26" t="str">
        <v>%age</v>
      </c>
      <c r="E26" t="str">
        <v>Qty</v>
      </c>
      <c r="F26" t="str">
        <v>Zero Leakage Target %age</v>
      </c>
      <c r="G26" t="str">
        <v>Non Complaince</v>
      </c>
      <c r="H26" t="str">
        <v>Complaince</v>
      </c>
      <c r="I26" t="str">
        <v>Qty</v>
      </c>
      <c r="J26" t="str">
        <v>Target %age</v>
      </c>
      <c r="K26" t="str">
        <v>Non Complaince</v>
      </c>
      <c r="L26" t="str">
        <v>Complaince</v>
      </c>
    </row>
    <row r="27">
      <c r="A27" t="str">
        <v>Descon</v>
      </c>
      <c r="B27">
        <f>+B21</f>
        <v>61</v>
      </c>
      <c r="C27">
        <f>+C21</f>
        <v>51</v>
      </c>
      <c r="D27">
        <f>+C27/B27</f>
        <v>0.8360655737704918</v>
      </c>
      <c r="E27">
        <f>COUNTIFS(Detail.!$D:$D,"Descon",Detail.!$O:$O,"&gt;0",Detail.!$A:$A,"Leakage")</f>
        <v>0</v>
      </c>
      <c r="F27">
        <v>0</v>
      </c>
      <c r="G27">
        <f>+E27/C27</f>
        <v>0</v>
      </c>
      <c r="H27">
        <f>100%-G27</f>
        <v>1</v>
      </c>
      <c r="I27">
        <f>COUNTIFS(Detail.!$D:$D,"Descon",Detail.!$O:$O,"&gt;0",Detail.!$A:$A,"Re-Work")</f>
        <v>0</v>
      </c>
      <c r="J27" t="str">
        <v>&lt;10%</v>
      </c>
      <c r="K27">
        <f>+I27/C27</f>
        <v>0</v>
      </c>
      <c r="L27">
        <f>100%-K27</f>
        <v>1</v>
      </c>
    </row>
  </sheetData>
  <mergeCells count="20">
    <mergeCell ref="A25:A26"/>
    <mergeCell ref="B25:D25"/>
    <mergeCell ref="A10:A11"/>
    <mergeCell ref="A24:L24"/>
    <mergeCell ref="S19:V19"/>
    <mergeCell ref="E25:H25"/>
    <mergeCell ref="I25:L25"/>
    <mergeCell ref="A8:X8"/>
    <mergeCell ref="M10:R10"/>
    <mergeCell ref="G10:L10"/>
    <mergeCell ref="G19:L19"/>
    <mergeCell ref="M19:R19"/>
    <mergeCell ref="B19:F19"/>
    <mergeCell ref="B10:F10"/>
    <mergeCell ref="S10:V10"/>
    <mergeCell ref="A18:A20"/>
    <mergeCell ref="B18:E18"/>
    <mergeCell ref="G18:J18"/>
    <mergeCell ref="M18:P18"/>
    <mergeCell ref="S18:V18"/>
  </mergeCells>
  <pageMargins left="0.7086614173228347" right="0.7086614173228347" top="0.9448818897637796" bottom="0.9448818897637796" header="0.31496062992125984" footer="0.31496062992125984"/>
  <ignoredErrors>
    <ignoredError numberStoredAsText="1" sqref="A1:AB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88"/>
  <sheetViews>
    <sheetView workbookViewId="0" rightToLeft="0"/>
  </sheetViews>
  <sheetData>
    <row r="6">
      <c r="AJ6">
        <f>+TODAY()-1</f>
        <v>46270</v>
      </c>
    </row>
    <row r="7">
      <c r="Y7" t="str">
        <v>Date</v>
      </c>
      <c r="Z7">
        <f>+TODAY()</f>
        <v>46271</v>
      </c>
      <c r="AA7">
        <v>72</v>
      </c>
    </row>
    <row r="8">
      <c r="A8" t="str">
        <v>Daily Planning KPIs</v>
      </c>
      <c r="U8" t="str">
        <v>Daily Manhours Utilization</v>
      </c>
      <c r="AJ8">
        <v>12</v>
      </c>
    </row>
    <row r="9">
      <c r="A9" t="str">
        <v>Description</v>
      </c>
      <c r="B9" t="str">
        <v>Total</v>
      </c>
      <c r="G9" t="str">
        <v>PM Complaince</v>
      </c>
      <c r="K9" t="str">
        <v>CM Complaince</v>
      </c>
      <c r="O9" t="str">
        <v>SCE's Complaince</v>
      </c>
    </row>
    <row r="10">
      <c r="B10" t="str">
        <v>Frozen Sch</v>
      </c>
      <c r="C10" t="str">
        <v>Done</v>
      </c>
      <c r="D10" t="str">
        <v>Target %age</v>
      </c>
      <c r="E10" t="str">
        <v>%age</v>
      </c>
      <c r="F10" t="str">
        <v>Remarks</v>
      </c>
      <c r="G10" t="str">
        <v>Plan</v>
      </c>
      <c r="H10" t="str">
        <v>Done</v>
      </c>
      <c r="I10" t="str">
        <v>Target</v>
      </c>
      <c r="J10" t="str">
        <v>%age</v>
      </c>
      <c r="K10" t="str">
        <v>Plan</v>
      </c>
      <c r="L10" t="str">
        <v>Done</v>
      </c>
      <c r="M10" t="str">
        <v>Target</v>
      </c>
      <c r="N10" t="str">
        <v>%age</v>
      </c>
      <c r="O10" t="str">
        <v>SCE's</v>
      </c>
      <c r="P10" t="str">
        <v>Completed</v>
      </c>
      <c r="Q10" t="str">
        <v>Target %age</v>
      </c>
      <c r="R10" t="str">
        <v>%age</v>
      </c>
      <c r="S10" t="str">
        <v>Remarks</v>
      </c>
      <c r="U10" t="str">
        <v>Plan MH</v>
      </c>
      <c r="V10" t="str">
        <v>Completed Jobs Plan MH</v>
      </c>
      <c r="W10" t="str">
        <v>Completed Jobs Actual MH</v>
      </c>
      <c r="X10" t="str">
        <v>%age</v>
      </c>
      <c r="Y10" t="str">
        <v>Descon Availbale MH</v>
      </c>
      <c r="Z10" t="str">
        <v>Descon Utilized MH</v>
      </c>
      <c r="AA10" t="str">
        <v>%age</v>
      </c>
    </row>
    <row r="11">
      <c r="A11" t="str">
        <v>Daily</v>
      </c>
      <c r="B11">
        <f>+G11+K11</f>
        <v>0</v>
      </c>
      <c r="C11">
        <f>+H11+L11</f>
        <v>0</v>
      </c>
      <c r="D11" t="str">
        <v>&gt;=80%</v>
      </c>
      <c r="E11" t="e">
        <f>+C11/B11</f>
        <v>#DIV/0!</v>
      </c>
      <c r="G11">
        <f>+COUNTIFS(Detail.!$D:$D,"Descon",Detail.!$I:$I,"ZPM",Detail.!$L:$L,'Progress Summary'!$Z$7)</f>
        <v>0</v>
      </c>
      <c r="H11">
        <f>+COUNTIFS(Detail.!$D:$D,"Descon",Detail.!$I:$I,"ZPM",Detail.!$O:$O,'Progress Summary'!$Z$7,Detail.!L:L,'Progress Summary'!Z7)</f>
        <v>0</v>
      </c>
      <c r="I11" t="str">
        <v>&lt;=2 man Week</v>
      </c>
      <c r="J11" t="e">
        <f>+H11/G11</f>
        <v>#DIV/0!</v>
      </c>
      <c r="K11">
        <f>+COUNTIFS(Detail.!$D:$D,"Descon",Detail.!$I:$I,"ZCR",Detail.!$L:$L,'Progress Summary'!$Z$7)</f>
        <v>0</v>
      </c>
      <c r="L11">
        <f>+COUNTIFS(Detail.!$D:$D,"Descon",Detail.!$I:$I,"ZCR",Detail.!$O:$O,'Progress Summary'!$Z$7)</f>
        <v>0</v>
      </c>
      <c r="M11" t="str">
        <v>&lt;=4 man Week</v>
      </c>
      <c r="N11" t="e">
        <f>+L11/K11</f>
        <v>#DIV/0!</v>
      </c>
      <c r="O11">
        <f>+COUNTIFS(Detail.!$D:$D,"Descon",Detail.!$I:$I,"ZPM",Detail.!$L:$L,'Progress Summary'!$Z$7,Detail.!$G:$G,"A")</f>
        <v>0</v>
      </c>
      <c r="P11">
        <f>+COUNTIFS(Detail.!$D:$D,"Descon",Detail.!$I:$I,"ZPM",Detail.!$O:$O,'Progress Summary'!Z7,Detail.!$G:$G,"A")</f>
        <v>0</v>
      </c>
      <c r="Q11">
        <v>1</v>
      </c>
      <c r="R11" t="e">
        <f>+P11/O11</f>
        <v>#DIV/0!</v>
      </c>
      <c r="U11">
        <f>SUMIFS(Detail.!$Q:$Q,Detail.!$D:$D,"Descon",Detail.!$L:$L,'Progress Summary'!$Z$7)</f>
        <v>0</v>
      </c>
      <c r="V11">
        <f>SUMIFS(Detail.!$Q:$Q,Detail.!$D:$D,"Descon",Detail.!$N:$N,'Progress Summary'!$Z$7,Detail.!O:O,"&gt;0")</f>
        <v>0</v>
      </c>
      <c r="W11" cm="1">
        <f t="array" ref="W11">SUM(SUMIFS(Detail.!$S:$S,Detail.!$D:$D,{"Descon","Reschedule"},Detail.!$N:$N,$Z$7))</f>
        <v>0</v>
      </c>
      <c r="X11" t="e">
        <f>+W11/V11</f>
        <v>#DIV/0!</v>
      </c>
      <c r="Y11">
        <v>48</v>
      </c>
      <c r="Z11">
        <f>+W11</f>
        <v>0</v>
      </c>
      <c r="AA11">
        <f>+Z11/Y11</f>
        <v>0</v>
      </c>
    </row>
    <row r="13">
      <c r="A13" t="str">
        <v>Weekly Planning KPIs</v>
      </c>
      <c r="U13" t="str">
        <v>Weekly Manhours Utilization</v>
      </c>
    </row>
    <row r="14">
      <c r="A14" t="str">
        <v>Description</v>
      </c>
      <c r="B14" t="str">
        <v>Total</v>
      </c>
      <c r="G14" t="str">
        <v>PM Complaince</v>
      </c>
      <c r="K14" t="str">
        <v>CM Complaince</v>
      </c>
      <c r="O14" t="str">
        <v>SCE's Complaince</v>
      </c>
    </row>
    <row r="15">
      <c r="B15" t="str">
        <v>Frozen Sch</v>
      </c>
      <c r="C15" t="str">
        <v>Completed</v>
      </c>
      <c r="D15" t="str">
        <v>Reschedule</v>
      </c>
      <c r="E15" t="str">
        <v>Target %age</v>
      </c>
      <c r="F15" t="str">
        <v>%age</v>
      </c>
      <c r="G15" t="str">
        <v>PM</v>
      </c>
      <c r="H15" t="str">
        <v>Done</v>
      </c>
      <c r="I15" t="str">
        <v>Target</v>
      </c>
      <c r="J15" t="str">
        <v>%age</v>
      </c>
      <c r="K15" t="str">
        <v>Plan</v>
      </c>
      <c r="L15" t="str">
        <v>Done</v>
      </c>
      <c r="M15" t="str">
        <v>Target</v>
      </c>
      <c r="N15" t="str">
        <v>%age</v>
      </c>
      <c r="O15" t="str">
        <v>SCE's</v>
      </c>
      <c r="P15" t="str">
        <v>Completed</v>
      </c>
      <c r="Q15" t="str">
        <v>Target %age</v>
      </c>
      <c r="R15" t="str">
        <v>%age</v>
      </c>
      <c r="S15" t="str">
        <v>Remarks</v>
      </c>
      <c r="U15" t="str">
        <v>Plan MH</v>
      </c>
      <c r="V15" t="str">
        <v>Completed Jobs Plan MH</v>
      </c>
      <c r="W15" t="str">
        <v>Completed Jobs Actual MH</v>
      </c>
      <c r="X15" t="str">
        <v>%age</v>
      </c>
      <c r="Y15" t="str">
        <v>Descon Availbale MH</v>
      </c>
      <c r="Z15" t="str">
        <v>Descon Utilized MH</v>
      </c>
      <c r="AA15" t="str">
        <v>%age</v>
      </c>
    </row>
    <row r="16">
      <c r="A16" t="str">
        <v>Week1</v>
      </c>
      <c r="B16">
        <f>+G16+K16</f>
        <v>61</v>
      </c>
      <c r="C16">
        <f>+H16+L16</f>
        <v>51</v>
      </c>
      <c r="D16">
        <f>COUNTIFS(Detail.!D:D,"Reschedule",Detail.!Z:Z,"W1",Detail.!O:O,"")</f>
        <v>0</v>
      </c>
      <c r="E16" t="str">
        <v>&gt;=80%</v>
      </c>
      <c r="F16">
        <f>+C16/B16</f>
        <v>0.8360655737704918</v>
      </c>
      <c r="G16" cm="1">
        <f t="array" ref="G16">+SUMPRODUCT(COUNTIFS(Detail.!$D:$D,{"Descon","Reschedule"},Detail.!$I:$I,"ZPM",Detail.!Z:Z,"W1"))</f>
        <v>5</v>
      </c>
      <c r="H16" cm="1">
        <f t="array" ref="H16">+SUMPRODUCT(COUNTIFS(Detail.!$D:$D,{"Descon","Reschedule"},Detail.!$I:$I,"ZPM",Detail.!$O:$O,"&gt;0",Detail.!Z:Z,"W1"))</f>
        <v>5</v>
      </c>
      <c r="I16" t="str">
        <v>&lt;=2 man Week</v>
      </c>
      <c r="J16">
        <f>+H16/G16</f>
        <v>1</v>
      </c>
      <c r="K16" cm="1">
        <f t="array" ref="K16">+SUMPRODUCT(COUNTIFS(Detail.!$D:$D,{"Descon","Reschedule"},Detail.!$I:$I,"ZCR",Detail.!Z:Z,"W1"))</f>
        <v>56</v>
      </c>
      <c r="L16" cm="1">
        <f t="array" ref="L16">+SUMPRODUCT(COUNTIFS(Detail.!$D:$D,{"Descon","Reschedule"},Detail.!$I:$I,"ZCR",Detail.!$O:$O,"&gt;0",Detail.!Z:Z,"W1"))</f>
        <v>46</v>
      </c>
      <c r="M16" t="str">
        <v>&lt;=4 man Week</v>
      </c>
      <c r="N16">
        <f>+L16/K16</f>
        <v>0.8214285714285714</v>
      </c>
      <c r="O16">
        <f>COUNTIFS(Detail.!$D:$D,"Descon",Detail.!$I:$I,"ZPM",Detail.!$G:$G,"A",Detail.!Z:Z,"W1")</f>
        <v>0</v>
      </c>
      <c r="P16">
        <f>COUNTIFS(Detail.!$D:$D,"Descon",Detail.!$I:$I,"ZPM",Detail.!$G:$G,"A",Detail.!$O:$O,"&gt;0",Detail.!Z:Z,"W1")</f>
        <v>0</v>
      </c>
      <c r="Q16">
        <v>1</v>
      </c>
      <c r="R16" t="e">
        <f>+P16/O16</f>
        <v>#DIV/0!</v>
      </c>
      <c r="U16" cm="1">
        <f t="array" ref="U16">SUM(SUMIFS(Detail.!$Q:$Q,Detail.!$D:$D,{"Descon","Reschedule"},Detail.!$Z:$Z,"W1"))</f>
        <v>184.40000000000006</v>
      </c>
      <c r="V16" cm="1">
        <f t="array" ref="V16">SUM(SUMIFS(Detail.!$Q:$Q,Detail.!$D:$D,{"Descon","Reschedule"},Detail.!$N:$N,"&gt;0",Detail.!$Z:$Z,"W1"))</f>
        <v>142.30000000000007</v>
      </c>
      <c r="W16" cm="1">
        <f t="array" ref="W16">SUM(SUMIFS(Detail.!S:S,Detail.!D:D,{"Descon","Reschedule"},Detail.!Z:Z,"W1"))</f>
        <v>147</v>
      </c>
      <c r="X16">
        <f>+W16/V16</f>
        <v>1.0330288123682356</v>
      </c>
      <c r="Y16">
        <f>3*48</f>
        <v>144</v>
      </c>
      <c r="Z16">
        <f>+W16</f>
        <v>147</v>
      </c>
      <c r="AA16">
        <f>+Z16/Y16</f>
        <v>1.0208333333333333</v>
      </c>
    </row>
    <row r="17">
      <c r="A17" t="str">
        <v>Week2</v>
      </c>
      <c r="B17">
        <f>+G17+K17</f>
        <v>0</v>
      </c>
      <c r="C17">
        <f>+H17+L17</f>
        <v>0</v>
      </c>
      <c r="D17">
        <f>COUNTIFS(Detail.!D:D,"Reschedule",Detail.!Z:Z,"W2",Detail.!O:O,"")</f>
        <v>0</v>
      </c>
      <c r="E17" t="str">
        <v>&gt;=80%</v>
      </c>
      <c r="F17" t="e">
        <f>+C17/B17</f>
        <v>#DIV/0!</v>
      </c>
      <c r="G17" cm="1">
        <f t="array" ref="G17">+SUMPRODUCT(COUNTIFS(Detail.!$D:$D,{"Descon","Reschedule"},Detail.!$I:$I,"ZPM",Detail.!Z:Z,"W2"))</f>
        <v>0</v>
      </c>
      <c r="H17" cm="1">
        <f t="array" ref="H17">+SUMPRODUCT(COUNTIFS(Detail.!$D:$D,{"Descon","Reschedule"},Detail.!$I:$I,"ZPM",Detail.!$O:$O,"&gt;0",Detail.!Z:Z,"W2"))</f>
        <v>0</v>
      </c>
      <c r="I17" t="str">
        <v>&lt;=2 man Week</v>
      </c>
      <c r="J17" t="e">
        <f>+H17/G17</f>
        <v>#DIV/0!</v>
      </c>
      <c r="K17" cm="1">
        <f t="array" ref="K17">+SUMPRODUCT(COUNTIFS(Detail.!$D:$D,{"Descon","Reschedule"},Detail.!$I:$I,"ZCR",Detail.!Z:Z,"W2"))</f>
        <v>0</v>
      </c>
      <c r="L17" cm="1">
        <f t="array" ref="L17">+SUMPRODUCT(COUNTIFS(Detail.!$D:$D,{"Descon","Reschedule"},Detail.!$I:$I,"ZCR",Detail.!$O:$O,"&gt;0",Detail.!Z:Z,"W2"))</f>
        <v>0</v>
      </c>
      <c r="M17" t="str">
        <v>&lt;=4 man Week</v>
      </c>
      <c r="N17" t="e">
        <f>+L17/K17</f>
        <v>#DIV/0!</v>
      </c>
      <c r="O17">
        <f>COUNTIFS(Detail.!$D:$D,"Descon",Detail.!$I:$I,"ZPM",Detail.!$G:$G,"A",Detail.!Z:Z,"W2")</f>
        <v>0</v>
      </c>
      <c r="P17">
        <f>COUNTIFS(Detail.!$D:$D,"Descon",Detail.!$I:$I,"ZPM",Detail.!$G:$G,"A",Detail.!$O:$O,"&gt;0",Detail.!Z:Z,"W2")</f>
        <v>0</v>
      </c>
      <c r="Q17">
        <v>1</v>
      </c>
      <c r="R17" t="e">
        <f>+P17/O17</f>
        <v>#DIV/0!</v>
      </c>
      <c r="U17" cm="1">
        <f t="array" ref="U17">SUM(SUMIFS(Detail.!$Q:$Q,Detail.!$D:$D,{"Descon","Reschedule"},Detail.!$Z:$Z,"W2"))</f>
        <v>0</v>
      </c>
      <c r="V17" cm="1">
        <f t="array" ref="V17">SUM(SUMIFS(Detail.!$Q:$Q,Detail.!$D:$D,{"Descon","Reschedule"},Detail.!$O:$O,"&gt;0",Detail.!$Z:$Z,"W2"))</f>
        <v>0</v>
      </c>
      <c r="W17" cm="1">
        <f t="array" ref="W17">SUM(SUMIFS(Detail.!S:S,Detail.!D:D,{"Descon","Reschedule"},Detail.!Z:Z,"W2"))</f>
        <v>0</v>
      </c>
      <c r="X17" t="e">
        <f>+W17/V17</f>
        <v>#DIV/0!</v>
      </c>
      <c r="Y17">
        <f>5*48</f>
        <v>240</v>
      </c>
      <c r="Z17">
        <f>+W17</f>
        <v>0</v>
      </c>
      <c r="AA17">
        <f>+Z17/Y17</f>
        <v>0</v>
      </c>
    </row>
    <row r="18">
      <c r="A18" t="str">
        <v>Week3</v>
      </c>
      <c r="B18">
        <f>+G18+K18</f>
        <v>0</v>
      </c>
      <c r="C18">
        <f>+H18+L18</f>
        <v>0</v>
      </c>
      <c r="D18">
        <f>COUNTIFS(Detail.!D:D,"Reschedule",Detail.!Z:Z,"W3",Detail.!O:O,"")</f>
        <v>0</v>
      </c>
      <c r="E18" t="str">
        <v>&gt;=80%</v>
      </c>
      <c r="F18" t="e">
        <f>+C18/B18</f>
        <v>#DIV/0!</v>
      </c>
      <c r="G18" cm="1">
        <f t="array" ref="G18">+SUMPRODUCT(COUNTIFS(Detail.!$D:$D,{"Descon","Reschedule"},Detail.!$I:$I,"ZPM",Detail.!Z:Z,"W3"))</f>
        <v>0</v>
      </c>
      <c r="H18" cm="1">
        <f t="array" ref="H18">+SUMPRODUCT(COUNTIFS(Detail.!$D:$D,{"Descon","Reschedule"},Detail.!$I:$I,"ZPM",Detail.!$O:$O,"&gt;0",Detail.!Z:Z,"W3"))</f>
        <v>0</v>
      </c>
      <c r="I18" t="str">
        <v>&lt;=2 man Week</v>
      </c>
      <c r="J18" t="e">
        <f>+H18/G18</f>
        <v>#DIV/0!</v>
      </c>
      <c r="K18" cm="1">
        <f t="array" ref="K18">+SUMPRODUCT(COUNTIFS(Detail.!$D:$D,{"Descon","Reschedule"},Detail.!$I:$I,"ZCR",Detail.!Z:Z,"W3"))</f>
        <v>0</v>
      </c>
      <c r="L18" cm="1">
        <f t="array" ref="L18">+SUMPRODUCT(COUNTIFS(Detail.!$D:$D,{"Descon","Reschedule"},Detail.!$I:$I,"ZCR",Detail.!$O:$O,"&gt;0",Detail.!Z:Z,"W3"))</f>
        <v>0</v>
      </c>
      <c r="M18" t="str">
        <v>&lt;=4 man Week</v>
      </c>
      <c r="N18" t="e">
        <f>+L18/K18</f>
        <v>#DIV/0!</v>
      </c>
      <c r="O18">
        <f>COUNTIFS(Detail.!$D:$D,"Descon",Detail.!$I:$I,"ZPM",Detail.!$G:$G,"A",Detail.!Z:Z,"W3")</f>
        <v>0</v>
      </c>
      <c r="P18">
        <f>COUNTIFS(Detail.!$D:$D,"Descon",Detail.!$I:$I,"ZPM",Detail.!$G:$G,"A",Detail.!$O:$O,"&gt;0",Detail.!Z:Z,"W3")</f>
        <v>0</v>
      </c>
      <c r="Q18">
        <v>1</v>
      </c>
      <c r="R18" t="e">
        <f>+P18/O18</f>
        <v>#DIV/0!</v>
      </c>
      <c r="U18" cm="1">
        <f t="array" ref="U18">SUM(SUMIFS(Detail.!$Q:$Q,Detail.!$D:$D,{"Descon","Reschedule"},Detail.!$Z:$Z,"W3"))</f>
        <v>0</v>
      </c>
      <c r="V18" cm="1">
        <f t="array" ref="V18">SUM(SUMIFS(Detail.!$Q:$Q,Detail.!$D:$D,{"Descon","Reschedule"},Detail.!$O:$O,"&gt;0",Detail.!$Z:$Z,"W3"))</f>
        <v>0</v>
      </c>
      <c r="W18" cm="1">
        <f t="array" ref="W18">SUM(SUMIFS(Detail.!S:S,Detail.!D:D,{"Descon","Reschedule"},Detail.!Z:Z,"W3"))</f>
        <v>0</v>
      </c>
      <c r="X18" t="e">
        <f>+W18/V18</f>
        <v>#DIV/0!</v>
      </c>
      <c r="Y18">
        <v>240</v>
      </c>
      <c r="Z18">
        <f>+W18</f>
        <v>0</v>
      </c>
      <c r="AA18">
        <f>+Z18/Y18</f>
        <v>0</v>
      </c>
    </row>
    <row r="19">
      <c r="A19" t="str">
        <v>Week4</v>
      </c>
      <c r="B19">
        <f>+G19+K19</f>
        <v>0</v>
      </c>
      <c r="C19">
        <f>+H19+L19</f>
        <v>0</v>
      </c>
      <c r="D19">
        <f>COUNTIFS(Detail.!D:D,"Reschedule",Detail.!Z:Z,"W4",Detail.!O:O,"")</f>
        <v>0</v>
      </c>
      <c r="E19" t="str">
        <v>&gt;=80%</v>
      </c>
      <c r="F19" t="e">
        <f>+C19/B19</f>
        <v>#DIV/0!</v>
      </c>
      <c r="G19" cm="1">
        <f t="array" ref="G19">+SUMPRODUCT(COUNTIFS(Detail.!$D:$D,{"Descon","Reschedule"},Detail.!$I:$I,"ZPM",Detail.!Z:Z,"W4"))</f>
        <v>0</v>
      </c>
      <c r="H19" cm="1">
        <f t="array" ref="H19">+SUMPRODUCT(COUNTIFS(Detail.!$D:$D,{"Descon","Reschedule"},Detail.!$I:$I,"ZPM",Detail.!$O:$O,"&gt;0",Detail.!Z:Z,"W4"))</f>
        <v>0</v>
      </c>
      <c r="I19" t="str">
        <v>&lt;=2 man Week</v>
      </c>
      <c r="J19" t="e">
        <f>+H19/G19</f>
        <v>#DIV/0!</v>
      </c>
      <c r="K19" cm="1">
        <f t="array" ref="K19">+SUMPRODUCT(COUNTIFS(Detail.!$D:$D,{"Descon","Reschedule"},Detail.!$I:$I,"ZCR",Detail.!Z:Z,"W4"))</f>
        <v>0</v>
      </c>
      <c r="L19" cm="1">
        <f t="array" ref="L19">+SUMPRODUCT(COUNTIFS(Detail.!$D:$D,{"Descon","Reschedule"},Detail.!$I:$I,"ZCR",Detail.!$O:$O,"&gt;0",Detail.!Z:Z,"W4"))</f>
        <v>0</v>
      </c>
      <c r="M19" t="str">
        <v>&lt;=4 man Week</v>
      </c>
      <c r="N19" t="e">
        <f>+L19/K19</f>
        <v>#DIV/0!</v>
      </c>
      <c r="O19">
        <f>COUNTIFS(Detail.!$D:$D,"Descon",Detail.!$I:$I,"ZPM",Detail.!$G:$G,"A",Detail.!Z:Z,"W4")</f>
        <v>0</v>
      </c>
      <c r="P19">
        <f>COUNTIFS(Detail.!$D:$D,"Descon",Detail.!$I:$I,"ZPM",Detail.!$G:$G,"A",Detail.!$O:$O,"&gt;0",Detail.!Z:Z,"W4")</f>
        <v>0</v>
      </c>
      <c r="Q19">
        <v>1</v>
      </c>
      <c r="R19" t="e">
        <f>+P19/O19</f>
        <v>#DIV/0!</v>
      </c>
      <c r="U19" cm="1">
        <f t="array" ref="U19">SUM(SUMIFS(Detail.!$Q:$Q,Detail.!$D:$D,{"Descon","Reschedule"},Detail.!$Z:$Z,"W4"))</f>
        <v>0</v>
      </c>
      <c r="V19" cm="1">
        <f t="array" ref="V19">SUM(SUMIFS(Detail.!$Q:$Q,Detail.!$D:$D,{"Descon","Reschedule"},Detail.!$O:$O,"&gt;0",Detail.!$Z:$Z,"W4"))</f>
        <v>0</v>
      </c>
      <c r="W19" cm="1">
        <f t="array" ref="W19">SUM(SUMIFS(Detail.!S:S,Detail.!D:D,{"Descon","Reschedule"},Detail.!Z:Z,"W4"))</f>
        <v>0</v>
      </c>
      <c r="X19" t="e">
        <f>+W19/V19</f>
        <v>#DIV/0!</v>
      </c>
      <c r="Y19">
        <v>240</v>
      </c>
      <c r="Z19">
        <f>+W19</f>
        <v>0</v>
      </c>
      <c r="AA19">
        <f>+Z19/Y19</f>
        <v>0</v>
      </c>
    </row>
    <row r="20">
      <c r="A20" t="str">
        <v>Week5</v>
      </c>
      <c r="B20">
        <f>+G20+K20</f>
        <v>0</v>
      </c>
      <c r="C20">
        <f>+H20+L20</f>
        <v>0</v>
      </c>
      <c r="D20">
        <f>COUNTIFS(Detail.!D:D,"Reschedule",Detail.!Z:Z,"W5",Detail.!O:O,"")</f>
        <v>0</v>
      </c>
      <c r="E20" t="str">
        <v>&gt;=80%</v>
      </c>
      <c r="F20" t="e">
        <f>+C20/B20</f>
        <v>#DIV/0!</v>
      </c>
      <c r="G20" cm="1">
        <f t="array" ref="G20">+SUMPRODUCT(COUNTIFS(Detail.!$D:$D,{"Descon","Reschedule"},Detail.!$I:$I,"ZPM",Detail.!Z:Z,"W5"))</f>
        <v>0</v>
      </c>
      <c r="H20" cm="1">
        <f t="array" ref="H20">+SUMPRODUCT(COUNTIFS(Detail.!$D:$D,{"Descon","Reschedule"},Detail.!$I:$I,"ZPM",Detail.!$O:$O,"&gt;0",Detail.!Z:Z,"W5"))</f>
        <v>0</v>
      </c>
      <c r="I20" t="str">
        <v>&lt;=2 man Week</v>
      </c>
      <c r="J20" t="e">
        <f>+H20/G20</f>
        <v>#DIV/0!</v>
      </c>
      <c r="K20" cm="1">
        <f t="array" ref="K20">+SUMPRODUCT(COUNTIFS(Detail.!$D:$D,{"Descon","Reschedule"},Detail.!$I:$I,"ZCR",Detail.!Z:Z,"W5"))</f>
        <v>0</v>
      </c>
      <c r="L20" cm="1">
        <f t="array" ref="L20">+SUMPRODUCT(COUNTIFS(Detail.!$D:$D,{"Descon","Reschedule"},Detail.!$I:$I,"ZCR",Detail.!$O:$O,"&gt;0",Detail.!Z:Z,"W5"))</f>
        <v>0</v>
      </c>
      <c r="M20" t="str">
        <v>&lt;=4 man Week</v>
      </c>
      <c r="N20" t="e">
        <f>+L20/K20</f>
        <v>#DIV/0!</v>
      </c>
      <c r="O20">
        <f>COUNTIFS(Detail.!$D:$D,"Descon",Detail.!$I:$I,"ZPM",Detail.!$G:$G,"A",Detail.!Z:Z,"W5")</f>
        <v>0</v>
      </c>
      <c r="P20">
        <f>COUNTIFS(Detail.!$D:$D,"Descon",Detail.!$I:$I,"ZPM",Detail.!$G:$G,"A",Detail.!$O:$O,"&gt;0",Detail.!Z:Z,"W5")</f>
        <v>0</v>
      </c>
      <c r="Q20">
        <v>1</v>
      </c>
      <c r="R20" t="e">
        <f>+P20/O20</f>
        <v>#DIV/0!</v>
      </c>
      <c r="U20" cm="1">
        <f t="array" ref="U20">SUM(SUMIFS(Detail.!$Q:$Q,Detail.!$D:$D,{"Descon","Reschedule"},Detail.!$Z:$Z,"W5",Detail.!$B:$B,"APSTT1"))</f>
        <v>0</v>
      </c>
      <c r="V20" cm="1">
        <f t="array" ref="V20">SUM(SUMIFS(Detail.!$Q:$Q,Detail.!$D:$D,{"Descon","Reschedule"},Detail.!$O:$O,"&gt;0",Detail.!$Z:$Z,"W5"))</f>
        <v>0</v>
      </c>
      <c r="W20" cm="1">
        <f t="array" ref="W20">SUM(SUMIFS(Detail.!S:S,Detail.!D:D,{"Descon","Reschedule"},Detail.!Z:Z,"W5"))</f>
        <v>0</v>
      </c>
      <c r="X20" t="e">
        <f>+W20/V20</f>
        <v>#DIV/0!</v>
      </c>
      <c r="Y20">
        <f>48*4</f>
        <v>192</v>
      </c>
      <c r="Z20">
        <f>+W20</f>
        <v>0</v>
      </c>
      <c r="AA20">
        <f>+Z20/Y20</f>
        <v>0</v>
      </c>
    </row>
    <row r="21">
      <c r="A21" t="str">
        <v>Monthly Cumulative Planning KPIs</v>
      </c>
      <c r="U21" t="str">
        <v>Monthly Manhours Utilization</v>
      </c>
      <c r="AJ21">
        <v>12</v>
      </c>
    </row>
    <row r="22">
      <c r="A22" t="str">
        <v>Description</v>
      </c>
      <c r="B22" t="str">
        <v>Total</v>
      </c>
      <c r="G22" t="str">
        <v>PM Complaince</v>
      </c>
      <c r="K22" t="str">
        <v>CM Complaince</v>
      </c>
      <c r="O22" t="str">
        <v>SCE's Complaince</v>
      </c>
    </row>
    <row r="23">
      <c r="B23" t="str">
        <v>Total</v>
      </c>
      <c r="G23" t="str">
        <v>PM Complaince</v>
      </c>
      <c r="K23" t="str">
        <v>CM Complaince</v>
      </c>
      <c r="O23" t="str">
        <v>SCE's Complaince</v>
      </c>
    </row>
    <row r="24">
      <c r="B24" t="str">
        <v>Plan</v>
      </c>
      <c r="C24" t="str">
        <v>Done</v>
      </c>
      <c r="D24" t="str">
        <v>Reschedule</v>
      </c>
      <c r="E24" t="str">
        <v>Target %age</v>
      </c>
      <c r="F24" t="str">
        <v>%age</v>
      </c>
      <c r="G24" t="str">
        <v>Plan</v>
      </c>
      <c r="H24" t="str">
        <v>Done</v>
      </c>
      <c r="I24" t="str">
        <v>Target</v>
      </c>
      <c r="J24" t="str">
        <v>%age</v>
      </c>
      <c r="K24" t="str">
        <v>Plan</v>
      </c>
      <c r="L24" t="str">
        <v>Done</v>
      </c>
      <c r="M24" t="str">
        <v>Target</v>
      </c>
      <c r="N24" t="str">
        <v>%age</v>
      </c>
      <c r="O24" t="str">
        <v>Plan</v>
      </c>
      <c r="P24" t="str">
        <v>Completed</v>
      </c>
      <c r="Q24" t="str">
        <v>Target %age</v>
      </c>
      <c r="R24" t="str">
        <v>%age</v>
      </c>
      <c r="S24" t="str">
        <v>Remarks</v>
      </c>
      <c r="U24" t="str">
        <v>Plan MH</v>
      </c>
      <c r="V24" t="str">
        <v>Completed Jobs Plan MH</v>
      </c>
      <c r="W24" t="str">
        <v>Completed Jobs Actual MH</v>
      </c>
      <c r="X24" t="str">
        <v>%age</v>
      </c>
      <c r="Y24" t="str">
        <v>Descon Availbale MH</v>
      </c>
      <c r="Z24" t="str">
        <v>Descon Utilized MH</v>
      </c>
      <c r="AA24" t="str">
        <v>%age</v>
      </c>
    </row>
    <row r="25">
      <c r="A25" t="str">
        <v>Monthly</v>
      </c>
      <c r="B25">
        <f>+G25+K25</f>
        <v>61</v>
      </c>
      <c r="C25">
        <f>+H25+L25</f>
        <v>51</v>
      </c>
      <c r="D25">
        <f>+SUM(D16:D20)</f>
        <v>0</v>
      </c>
      <c r="E25" t="str">
        <v>&gt;=80%</v>
      </c>
      <c r="F25">
        <f>+C25/B25</f>
        <v>0.8360655737704918</v>
      </c>
      <c r="G25">
        <f>+SUM(G16:G20)</f>
        <v>5</v>
      </c>
      <c r="H25">
        <f>+SUM(H16:H20)</f>
        <v>5</v>
      </c>
      <c r="I25" t="str">
        <v>&lt;=2 man Week</v>
      </c>
      <c r="J25">
        <f>+H25/G25</f>
        <v>1</v>
      </c>
      <c r="K25">
        <f>+SUM(K16:K20)</f>
        <v>56</v>
      </c>
      <c r="L25">
        <f>+SUM(L16:L20)</f>
        <v>46</v>
      </c>
      <c r="M25" t="str">
        <v>&lt;=4 man Week</v>
      </c>
      <c r="N25">
        <f>+L25/K25</f>
        <v>0.8214285714285714</v>
      </c>
      <c r="O25">
        <f>COUNTIFS(Detail.!$D:$D,"Descon",Detail.!$I:$I,"ZPM",Detail.!$G:$G,"A")</f>
        <v>0</v>
      </c>
      <c r="P25">
        <f>COUNTIFS(Detail.!$D:$D,"Descon",Detail.!$I:$I,"ZPM",Detail.!$G:$G,"A",Detail.!$O:$O,"&gt;0")</f>
        <v>0</v>
      </c>
      <c r="Q25">
        <v>1</v>
      </c>
      <c r="R25" t="e">
        <f>+P25/O25</f>
        <v>#DIV/0!</v>
      </c>
      <c r="U25">
        <f>+SUM(U16:U20)</f>
        <v>184.40000000000006</v>
      </c>
      <c r="V25">
        <f>+SUM(V16:V20)</f>
        <v>142.30000000000007</v>
      </c>
      <c r="W25">
        <f>+SUM(W16:W20)</f>
        <v>147</v>
      </c>
      <c r="X25">
        <f>+W25/V25</f>
        <v>1.0330288123682356</v>
      </c>
      <c r="Y25">
        <f>+Y19+Y18+Y17+Y16+Y20</f>
        <v>1056</v>
      </c>
      <c r="Z25">
        <f>+W25</f>
        <v>147</v>
      </c>
      <c r="AA25">
        <f>+Z25/Y25</f>
        <v>0.13920454545454544</v>
      </c>
    </row>
    <row r="26">
      <c r="A26" t="str">
        <v>Balance Reschedule Activities Status</v>
      </c>
    </row>
    <row r="27">
      <c r="A27" t="str">
        <v>Total Reschedule</v>
      </c>
      <c r="B27" t="str">
        <v>Due To Team Overloaded</v>
      </c>
      <c r="C27" t="str">
        <v>Hold By Ops</v>
      </c>
      <c r="D27" t="str">
        <v>Due To Other Disciplines</v>
      </c>
      <c r="E27" t="str">
        <v>Due to Emergency</v>
      </c>
      <c r="F27" t="str">
        <v>Unavailability Of Crane</v>
      </c>
      <c r="G27" t="str">
        <v>PSV not Calibrated</v>
      </c>
      <c r="H27" t="str">
        <v>Due To Team Overloaded</v>
      </c>
      <c r="I27" t="str">
        <v>Hold By Ops</v>
      </c>
      <c r="J27" t="str">
        <v>Due To Permit Holder</v>
      </c>
      <c r="K27" t="str">
        <v>Due to Emergency</v>
      </c>
      <c r="L27" t="str">
        <v>Unavailability Of Crane</v>
      </c>
      <c r="M27" t="str">
        <v>PSV not Calibrated</v>
      </c>
      <c r="N27" t="str">
        <v>Due To Team Overloaded</v>
      </c>
      <c r="O27" t="str">
        <v>Hold By Ops</v>
      </c>
      <c r="P27" t="str">
        <v>Due To Other Disciplines</v>
      </c>
      <c r="Q27" t="str">
        <v>Due to Emergency</v>
      </c>
      <c r="R27" t="str">
        <v>Unavailability Of Crane</v>
      </c>
      <c r="S27" t="str">
        <v>PSV not Calibrated</v>
      </c>
      <c r="U27" t="str">
        <v>Due To Team Overloaded</v>
      </c>
      <c r="V27" t="str">
        <v>Hold By Ops</v>
      </c>
      <c r="W27" t="str">
        <v>Due To Permit Holder</v>
      </c>
      <c r="X27" t="str">
        <v>Due to Emergency</v>
      </c>
      <c r="Y27" t="str">
        <v>PSV not Calibrated</v>
      </c>
      <c r="Z27" t="str">
        <v>Unavailability Of Crane</v>
      </c>
      <c r="AA27" t="str">
        <v>Remarks</v>
      </c>
    </row>
    <row r="28">
      <c r="A28">
        <f>+D25</f>
        <v>0</v>
      </c>
      <c r="B28">
        <f>COUNTIF(Detail.!$AB:$AB,"Overloaded")</f>
        <v>0</v>
      </c>
      <c r="C28">
        <f>COUNTIFS(Detail.!$AB:$AB,"Operation",Detail.!D:D,"Reschedule")</f>
        <v>0</v>
      </c>
      <c r="D28">
        <f>COUNTIFS(Detail.!$AB:$AB,"Other",Detail.!D:D,"Reschedule")</f>
        <v>0</v>
      </c>
      <c r="E28">
        <f>COUNTIFS(Detail.!$AB:$AB,"Emergency",Detail.!D:D,"Reschedule")</f>
        <v>0</v>
      </c>
      <c r="F28">
        <f>COUNTIFS(Detail.!$AB:$AB,"Crane",Detail.!D:D,"Reschedule")</f>
        <v>0</v>
      </c>
      <c r="G28">
        <f>COUNTIFS(Detail.!$AB:$AB,"PSV",Detail.!D:D,"Reschedule")</f>
        <v>0</v>
      </c>
      <c r="H28">
        <f>COUNTIFS(Detail.!$AB:$AB,"Overloaded",Detail.!$I:$I,"ZPM",Detail.!D:D,"Reschedule")</f>
        <v>0</v>
      </c>
      <c r="I28">
        <f>COUNTIFS(Detail.!$AB:$AB,"Operation",Detail.!$I:$I,"ZPM",Detail.!D:D,"Reschedule")</f>
        <v>0</v>
      </c>
      <c r="J28">
        <f>COUNTIFS(Detail.!$AB:$AB,"PTW",Detail.!$I:$I,"ZPM",Detail.!D:D,"Reschedule")</f>
        <v>0</v>
      </c>
      <c r="K28">
        <f>COUNTIFS(Detail.!$AB:$AB,"Emergency",Detail.!$I:$I,"ZPM",Detail.!D:D,"Reschedule")</f>
        <v>0</v>
      </c>
      <c r="L28">
        <f>COUNTIFS(Detail.!$AB:$AB,"Crane",Detail.!$I:$I,"ZPM",Detail.!D:D,"Reschedule")</f>
        <v>0</v>
      </c>
      <c r="M28">
        <f>COUNTIFS(Detail.!$AB:$AB,"PSV",Detail.!$I:$I,"ZPM",Detail.!D:D,"Reschedule")</f>
        <v>0</v>
      </c>
      <c r="N28">
        <f>COUNTIFS(Detail.!$AB:$AB,"Overloaded",Detail.!$I:$I,"ZCR",Detail.!D:D,"Reschedule")</f>
        <v>0</v>
      </c>
      <c r="O28">
        <f>COUNTIFS(Detail.!$AB:$AB,"Operation",Detail.!$I:$I,"ZCR",Detail.!D:D,"Reschedule")</f>
        <v>0</v>
      </c>
      <c r="P28">
        <f>COUNTIFS(Detail.!$AB:$AB,"Other",Detail.!$I:$I,"ZCR",Detail.!D:D,"Reschedule")</f>
        <v>0</v>
      </c>
      <c r="Q28">
        <f>COUNTIFS(Detail.!$AB:$AB,"Emergency",Detail.!$I:$I,"ZCR",Detail.!D:D,"Reschedule")</f>
        <v>0</v>
      </c>
      <c r="R28">
        <f>COUNTIFS(Detail.!$AB:$AB,"Crane",Detail.!$I:$I,"ZCR",Detail.!D:D,"Reschedule")</f>
        <v>0</v>
      </c>
      <c r="S28">
        <f>COUNTIFS(Detail.!$AB:$AB,"PSV",Detail.!$I:$I,"ZCR",Detail.!D:D,"Reschedule")</f>
        <v>0</v>
      </c>
      <c r="U28">
        <f>COUNTIFS(Detail.!$AB:$AB,"Overloded",Detail.!$I:$I,"ZPM",Detail.!$G:$G,"A",Detail.!D:D,"Reschedule")</f>
        <v>0</v>
      </c>
      <c r="V28">
        <f>COUNTIFS(Detail.!$AB:$AB,"Operation",Detail.!$I:$I,"ZPM",Detail.!$G:$G,"A",Detail.!D:D,"Reschedule")</f>
        <v>0</v>
      </c>
      <c r="W28">
        <f>COUNTIFS(Detail.!$AB:$AB,"PTW",Detail.!$I:$I,"ZPM",Detail.!$G:$G,"A",Detail.!D:D,"Reschedule")</f>
        <v>0</v>
      </c>
      <c r="X28">
        <f>COUNTIFS(Detail.!$AB:$AB,"Emergency",Detail.!$I:$I,"ZPM",Detail.!$G:$G,"A",Detail.!D:D,"Reschedule")</f>
        <v>0</v>
      </c>
      <c r="Y28">
        <f>COUNTIFS(Detail.!$AB:$AB,"PSV",Detail.!$I:$I,"ZPM",Detail.!$G:$G,"A",Detail.!D:D,"Reschedule")</f>
        <v>0</v>
      </c>
      <c r="Z28">
        <f>COUNTIFS(Detail.!$AB:$AB,"Crane",Detail.!$I:$I,"ZPM",Detail.!$G:$G,"A",Detail.!D:D,"Reschedule")</f>
        <v>0</v>
      </c>
    </row>
    <row r="29">
      <c r="A29" t="str">
        <v>Actual Balance Activities Status</v>
      </c>
    </row>
    <row r="30">
      <c r="A30" t="str">
        <v>Total Balnce</v>
      </c>
      <c r="B30" t="str">
        <v>Due To Team Overloaded</v>
      </c>
      <c r="C30" t="str">
        <v>Hold By Ops</v>
      </c>
      <c r="D30" t="str">
        <v>Due To Other Disciplines</v>
      </c>
      <c r="E30" t="str">
        <v>Due to Emergency</v>
      </c>
      <c r="F30" t="str">
        <v>Unavailability Of Crane</v>
      </c>
      <c r="G30" t="str">
        <v>PSV not Calibrated</v>
      </c>
      <c r="H30" t="str">
        <v>Due To Team Overloaded</v>
      </c>
      <c r="I30" t="str">
        <v>Hold By Ops</v>
      </c>
      <c r="J30" t="str">
        <v>Due To Permit Holder</v>
      </c>
      <c r="K30" t="str">
        <v>Due to Emergency</v>
      </c>
      <c r="L30" t="str">
        <v>Unavailability Of Crane</v>
      </c>
      <c r="M30" t="str">
        <v>PSV not Calibrated</v>
      </c>
      <c r="N30" t="str">
        <v>Due To Team Overloaded</v>
      </c>
      <c r="O30" t="str">
        <v>Hold By Ops</v>
      </c>
      <c r="P30" t="str">
        <v>Due To Other Disciplines</v>
      </c>
      <c r="Q30" t="str">
        <v>Due to Emergency</v>
      </c>
      <c r="R30" t="str">
        <v>Unavailability Of Crane</v>
      </c>
      <c r="S30" t="str">
        <v>PSV not Calibrated</v>
      </c>
      <c r="U30" t="str">
        <v>Due To Team Overloaded</v>
      </c>
      <c r="V30" t="str">
        <v>Hold By Ops</v>
      </c>
      <c r="W30" t="str">
        <v>Due To Permit Holder</v>
      </c>
      <c r="X30" t="str">
        <v>Due to Emergency</v>
      </c>
      <c r="Y30" t="str">
        <v>PSV not Calibrated</v>
      </c>
      <c r="Z30" t="str">
        <v>Unavailability Of Crane</v>
      </c>
      <c r="AA30" t="str">
        <v>Remarks</v>
      </c>
    </row>
    <row r="31">
      <c r="A31">
        <f>+B25-C25-D25</f>
        <v>10</v>
      </c>
      <c r="B31">
        <f>COUNTIFS(Detail.!$AB:$AB,"Overloaded",Detail.!D:D,"Descon")</f>
        <v>0</v>
      </c>
      <c r="C31">
        <f>COUNTIFS(Detail.!$AB:$AB,"Operation",Detail.!D:D,"Descon")</f>
        <v>0</v>
      </c>
      <c r="D31">
        <f>COUNTIFS(Detail.!$AB:$AB,"Other",Detail.!D:D,"Descon")</f>
        <v>2</v>
      </c>
      <c r="E31">
        <f>COUNTIFS(Detail.!$AB:$AB,"Emergency",Detail.!D:D,"Descon")</f>
        <v>0</v>
      </c>
      <c r="F31">
        <f>COUNTIFS(Detail.!$AB:$AB,"Crane",Detail.!D:D,"Descon")</f>
        <v>0</v>
      </c>
      <c r="G31">
        <f>COUNTIFS(Detail.!$AB:$AB,"PSV",Detail.!D:D,"Descon")</f>
        <v>0</v>
      </c>
      <c r="H31">
        <f>COUNTIFS(Detail.!$AB:$AB,"Overloaded",Detail.!$I:$I,"ZPM",Detail.!D:D,"Descon")</f>
        <v>0</v>
      </c>
      <c r="I31">
        <f>COUNTIFS(Detail.!$AB:$AB,"Operation",Detail.!$I:$I,"ZPM",Detail.!D:D,"Descon")</f>
        <v>0</v>
      </c>
      <c r="J31">
        <f>COUNTIFS(Detail.!$AB:$AB,"PTW",Detail.!$I:$I,"ZPM",Detail.!D:D,"Descon")</f>
        <v>0</v>
      </c>
      <c r="K31">
        <f>COUNTIFS(Detail.!$AB:$AB,"Emergency",Detail.!$I:$I,"ZPM",Detail.!D:D,"Descon")</f>
        <v>0</v>
      </c>
      <c r="L31">
        <f>COUNTIFS(Detail.!$AB:$AB,"Crane",Detail.!$I:$I,"ZPM",Detail.!D:D,"Descon")</f>
        <v>0</v>
      </c>
      <c r="M31">
        <f>COUNTIFS(Detail.!$AB:$AB,"PSV",Detail.!$I:$I,"ZPM",Detail.!D:D,"Descon")</f>
        <v>0</v>
      </c>
      <c r="N31">
        <f>COUNTIFS(Detail.!$AB:$AB,"Overloaded",Detail.!$I:$I,"ZCR",Detail.!D:D,"Descon")</f>
        <v>0</v>
      </c>
      <c r="O31">
        <f>COUNTIFS(Detail.!$AB:$AB,"Operation",Detail.!$I:$I,"ZCR",Detail.!D:D,"Descon")</f>
        <v>0</v>
      </c>
      <c r="P31">
        <f>COUNTIFS(Detail.!$AB:$AB,"Other",Detail.!$I:$I,"ZCR",Detail.!D:D,"Descon")</f>
        <v>2</v>
      </c>
      <c r="Q31">
        <f>COUNTIFS(Detail.!$AB:$AB,"Emergency",Detail.!$I:$I,"ZCR",Detail.!D:D,"Descon")</f>
        <v>0</v>
      </c>
      <c r="R31">
        <f>COUNTIFS(Detail.!$AB:$AB,"Crane",Detail.!$I:$I,"ZCR",Detail.!D:D,"Descon")</f>
        <v>0</v>
      </c>
      <c r="S31">
        <f>COUNTIFS(Detail.!$AB:$AB,"PSV",Detail.!$I:$I,"ZCR",Detail.!D:D,"Descon")</f>
        <v>0</v>
      </c>
      <c r="U31">
        <f>COUNTIFS(Detail.!$AB:$AB,"Overloded",Detail.!$I:$I,"ZPM",Detail.!$G:$G,"A",Detail.!D:D,"Descon")</f>
        <v>0</v>
      </c>
      <c r="V31">
        <f>COUNTIFS(Detail.!$AB:$AB,"Operation",Detail.!$I:$I,"ZPM",Detail.!$G:$G,"A",Detail.!D:D,"Descon")</f>
        <v>0</v>
      </c>
      <c r="W31">
        <f>COUNTIFS(Detail.!$AB:$AB,"PTW",Detail.!$I:$I,"ZPM",Detail.!$G:$G,"A",Detail.!D:D,"Descon")</f>
        <v>0</v>
      </c>
      <c r="X31">
        <f>COUNTIFS(Detail.!$AB:$AB,"Emergency",Detail.!$I:$I,"ZPM",Detail.!$G:$G,"A",Detail.!D:D,"Descon")</f>
        <v>0</v>
      </c>
      <c r="Y31">
        <f>COUNTIFS(Detail.!$AB:$AB,"PSV",Detail.!$I:$I,"ZPM",Detail.!$G:$G,"A",Detail.!D:D,"Descon")</f>
        <v>0</v>
      </c>
      <c r="Z31">
        <f>COUNTIFS(Detail.!$AB:$AB,"Crane",Detail.!$I:$I,"ZPM",Detail.!$G:$G,"A",Detail.!D:D,"Descon")</f>
        <v>0</v>
      </c>
    </row>
    <row r="80">
      <c r="A80" t="str">
        <v>Date</v>
      </c>
      <c r="B80">
        <v>46266</v>
      </c>
      <c r="C80">
        <f>+B80+1</f>
        <v>46267</v>
      </c>
      <c r="D80">
        <f>+C80+1</f>
        <v>46268</v>
      </c>
      <c r="E80">
        <f>+D80+1</f>
        <v>46269</v>
      </c>
      <c r="F80">
        <f>+E80+1</f>
        <v>46270</v>
      </c>
      <c r="G80">
        <f>+F80+1</f>
        <v>46271</v>
      </c>
      <c r="H80">
        <f>+G80+1</f>
        <v>46272</v>
      </c>
      <c r="I80">
        <f>+H80+1</f>
        <v>46273</v>
      </c>
      <c r="J80">
        <f>+I80+1</f>
        <v>46274</v>
      </c>
      <c r="K80">
        <f>+J80+1</f>
        <v>46275</v>
      </c>
      <c r="L80">
        <f>+K80+1</f>
        <v>46276</v>
      </c>
      <c r="M80">
        <f>+L80+1</f>
        <v>46277</v>
      </c>
      <c r="N80">
        <f>+M80+1</f>
        <v>46278</v>
      </c>
      <c r="O80">
        <f>+N80+1</f>
        <v>46279</v>
      </c>
      <c r="P80">
        <f>+O80+1</f>
        <v>46280</v>
      </c>
      <c r="Q80">
        <f>+P80+1</f>
        <v>46281</v>
      </c>
      <c r="R80">
        <f>+Q80+1</f>
        <v>46282</v>
      </c>
      <c r="S80">
        <f>+R80+1</f>
        <v>46283</v>
      </c>
      <c r="T80">
        <f>+S80+1</f>
        <v>46284</v>
      </c>
      <c r="U80">
        <f>+T80+1</f>
        <v>46285</v>
      </c>
      <c r="V80">
        <f>+U80+1</f>
        <v>46286</v>
      </c>
      <c r="W80">
        <f>+V80+1</f>
        <v>46287</v>
      </c>
      <c r="X80">
        <f>+W80+1</f>
        <v>46288</v>
      </c>
      <c r="Y80">
        <f>+X80+1</f>
        <v>46289</v>
      </c>
      <c r="Z80">
        <f>+Y80+1</f>
        <v>46290</v>
      </c>
      <c r="AA80">
        <f>+Z80+1</f>
        <v>46291</v>
      </c>
      <c r="AB80">
        <f>+AA80+1</f>
        <v>46292</v>
      </c>
      <c r="AC80">
        <f>+AB80+1</f>
        <v>46293</v>
      </c>
      <c r="AD80">
        <f>+AC80+1</f>
        <v>46294</v>
      </c>
      <c r="AE80">
        <f>+AD80+1</f>
        <v>46295</v>
      </c>
      <c r="AF80">
        <f>+AE80+1</f>
        <v>46296</v>
      </c>
    </row>
    <row r="81">
      <c r="A81" t="str">
        <v>Planned Mhrs</v>
      </c>
      <c r="B81" cm="1">
        <f t="array" ref="B81">SUM(SUMIFS(Detail.!$Q:$Q,Detail.!$D:$D,{"Descon","Reschedule"},Detail.!$L:$L,'Progress Summary'!B80,Detail.!B:B,"APSTT1"))</f>
        <v>66.2</v>
      </c>
      <c r="C81" cm="1">
        <f t="array" ref="C81">SUM(SUMIFS(Detail.!$Q:$Q,Detail.!$D:$D,{"Descon","Reschedule"},Detail.!$L:$L,'Progress Summary'!C80))</f>
        <v>52.3</v>
      </c>
      <c r="D81" cm="1">
        <f t="array" ref="D81">SUM(SUMIFS(Detail.!$Q:$Q,Detail.!$D:$D,{"Descon","Reschedule"},Detail.!$L:$L,'Progress Summary'!D80))</f>
        <v>65.89999999999999</v>
      </c>
      <c r="E81" cm="1">
        <f t="array" ref="E81">SUM(SUMIFS(Detail.!$Q:$Q,Detail.!$D:$D,{"Descon","Reschedule"},Detail.!$L:$L,'Progress Summary'!E80))</f>
        <v>0</v>
      </c>
      <c r="F81" cm="1">
        <f t="array" ref="F81">SUM(SUMIFS(Detail.!$Q:$Q,Detail.!$D:$D,{"Descon","Reschedule"},Detail.!$L:$L,'Progress Summary'!F80))</f>
        <v>0</v>
      </c>
      <c r="G81" cm="1">
        <f t="array" ref="G81">SUM(SUMIFS(Detail.!$Q:$Q,Detail.!$D:$D,{"Descon","Reschedule"},Detail.!$L:$L,'Progress Summary'!G80))</f>
        <v>0</v>
      </c>
      <c r="H81" cm="1">
        <f t="array" ref="H81">SUM(SUMIFS(Detail.!$Q:$Q,Detail.!$D:$D,{"Descon","Reschedule"},Detail.!$L:$L,'Progress Summary'!H80))</f>
        <v>0</v>
      </c>
      <c r="I81" cm="1">
        <f t="array" ref="I81">SUM(SUMIFS(Detail.!$Q:$Q,Detail.!$D:$D,{"Descon","Reschedule"},Detail.!$L:$L,'Progress Summary'!I80))</f>
        <v>0</v>
      </c>
      <c r="J81" cm="1">
        <f t="array" ref="J81">SUM(SUMIFS(Detail.!$Q:$Q,Detail.!$D:$D,{"Descon","Reschedule"},Detail.!$L:$L,'Progress Summary'!J80))</f>
        <v>0</v>
      </c>
      <c r="K81" cm="1">
        <f t="array" ref="K81">SUM(SUMIFS(Detail.!$Q:$Q,Detail.!$D:$D,{"Descon","Reschedule"},Detail.!$L:$L,'Progress Summary'!K80))</f>
        <v>0</v>
      </c>
      <c r="L81" cm="1">
        <f t="array" ref="L81">SUM(SUMIFS(Detail.!$Q:$Q,Detail.!$D:$D,{"Descon","Reschedule"},Detail.!$L:$L,'Progress Summary'!L80))</f>
        <v>0</v>
      </c>
      <c r="M81" cm="1">
        <f t="array" ref="M81">SUM(SUMIFS(Detail.!$Q:$Q,Detail.!$D:$D,{"Descon","Reschedule"},Detail.!$L:$L,'Progress Summary'!M80))</f>
        <v>0</v>
      </c>
      <c r="N81" cm="1">
        <f t="array" ref="N81">SUM(SUMIFS(Detail.!$Q:$Q,Detail.!$D:$D,{"Descon","Reschedule"},Detail.!$L:$L,'Progress Summary'!N80))</f>
        <v>0</v>
      </c>
      <c r="O81" cm="1">
        <f t="array" ref="O81">SUM(SUMIFS(Detail.!$Q:$Q,Detail.!$D:$D,{"Descon","Reschedule"},Detail.!$L:$L,'Progress Summary'!O80))</f>
        <v>0</v>
      </c>
      <c r="P81" cm="1">
        <f t="array" ref="P81">SUM(SUMIFS(Detail.!$Q:$Q,Detail.!$D:$D,{"Descon","Reschedule"},Detail.!$L:$L,'Progress Summary'!P80))</f>
        <v>0</v>
      </c>
      <c r="Q81" cm="1">
        <f t="array" ref="Q81">SUM(SUMIFS(Detail.!$Q:$Q,Detail.!$D:$D,{"Descon","Reschedule"},Detail.!$L:$L,'Progress Summary'!Q80))</f>
        <v>0</v>
      </c>
      <c r="R81" cm="1">
        <f t="array" ref="R81">SUM(SUMIFS(Detail.!$Q:$Q,Detail.!$D:$D,{"Descon","Reschedule"},Detail.!$L:$L,'Progress Summary'!R80))</f>
        <v>0</v>
      </c>
      <c r="S81" cm="1">
        <f t="array" ref="S81">SUM(SUMIFS(Detail.!$Q:$Q,Detail.!$D:$D,{"Descon","Reschedule"},Detail.!$L:$L,'Progress Summary'!S80))</f>
        <v>0</v>
      </c>
      <c r="T81" cm="1">
        <f t="array" ref="T81">SUM(SUMIFS(Detail.!$Q:$Q,Detail.!$D:$D,{"Descon","Reschedule"},Detail.!$L:$L,'Progress Summary'!T80))</f>
        <v>0</v>
      </c>
      <c r="U81" cm="1">
        <f t="array" ref="U81">SUM(SUMIFS(Detail.!$Q:$Q,Detail.!$D:$D,{"Descon","Reschedule"},Detail.!$L:$L,'Progress Summary'!U80))</f>
        <v>0</v>
      </c>
      <c r="V81" cm="1">
        <f t="array" ref="V81">SUM(SUMIFS(Detail.!$Q:$Q,Detail.!$D:$D,{"Descon","Reschedule"},Detail.!$L:$L,'Progress Summary'!V80))</f>
        <v>0</v>
      </c>
      <c r="W81" cm="1">
        <f t="array" ref="W81">SUM(SUMIFS(Detail.!$Q:$Q,Detail.!$D:$D,{"Descon","Reschedule"},Detail.!$L:$L,'Progress Summary'!W80))</f>
        <v>0</v>
      </c>
      <c r="X81" cm="1">
        <f t="array" ref="X81">SUM(SUMIFS(Detail.!$Q:$Q,Detail.!$D:$D,{"Descon","Reschedule"},Detail.!$L:$L,'Progress Summary'!X80))</f>
        <v>0</v>
      </c>
      <c r="Y81" cm="1">
        <f t="array" ref="Y81">SUM(SUMIFS(Detail.!$Q:$Q,Detail.!$D:$D,{"Descon","Reschedule"},Detail.!$L:$L,'Progress Summary'!Y80))</f>
        <v>0</v>
      </c>
      <c r="Z81" cm="1">
        <f t="array" ref="Z81">SUM(SUMIFS(Detail.!$Q:$Q,Detail.!$D:$D,{"Descon","Reschedule"},Detail.!$L:$L,'Progress Summary'!Z80))</f>
        <v>0</v>
      </c>
      <c r="AA81" cm="1">
        <f t="array" ref="AA81">SUM(SUMIFS(Detail.!$Q:$Q,Detail.!$D:$D,{"Descon","Reschedule"},Detail.!$L:$L,'Progress Summary'!AA80))</f>
        <v>0</v>
      </c>
      <c r="AB81" cm="1">
        <f t="array" ref="AB81">SUM(SUMIFS(Detail.!$Q:$Q,Detail.!$D:$D,{"Descon","Reschedule"},Detail.!$L:$L,'Progress Summary'!AB80))</f>
        <v>0</v>
      </c>
      <c r="AC81" cm="1">
        <f t="array" ref="AC81">SUM(SUMIFS(Detail.!$Q:$Q,Detail.!$D:$D,{"Descon","Reschedule"},Detail.!$L:$L,'Progress Summary'!AC80))</f>
        <v>0</v>
      </c>
      <c r="AD81" cm="1">
        <f t="array" ref="AD81">SUM(SUMIFS(Detail.!$Q:$Q,Detail.!$D:$D,{"Descon","Reschedule"},Detail.!$L:$L,'Progress Summary'!AD80))</f>
        <v>0</v>
      </c>
      <c r="AE81" cm="1">
        <f t="array" ref="AE81">SUM(SUMIFS(Detail.!$Q:$Q,Detail.!$D:$D,{"Descon","Reschedule"},Detail.!$L:$L,'Progress Summary'!AE80))</f>
        <v>0</v>
      </c>
      <c r="AF81" cm="1">
        <f t="array" ref="AF81">SUM(SUMIFS(Detail.!$Q:$Q,Detail.!$D:$D,{"Descon","Reschedule"},Detail.!$L:$L,'Progress Summary'!AF80))</f>
        <v>0</v>
      </c>
    </row>
    <row r="82">
      <c r="A82" t="str">
        <v>Acutal utilize Mhrs</v>
      </c>
      <c r="B82" cm="1">
        <f t="array" ref="B82">SUM(SUMIFS(Detail.!$S:$S,Detail.!$D:$D,{"Descon","Reschedule"},Detail.!$N:$N,B80))</f>
        <v>48</v>
      </c>
      <c r="C82" cm="1">
        <f t="array" ref="C82">SUM(SUMIFS(Detail.!$S:$S,Detail.!$D:$D,{"Descon","Reschedule"},Detail.!$N:$N,C80))</f>
        <v>48</v>
      </c>
      <c r="D82" cm="1">
        <f t="array" ref="D82">SUM(SUMIFS(Detail.!$S:$S,Detail.!$D:$D,{"Descon","Reschedule"},Detail.!$N:$N,D80))</f>
        <v>51</v>
      </c>
      <c r="E82" cm="1">
        <f t="array" ref="E82">SUM(SUMIFS(Detail.!$S:$S,Detail.!$D:$D,{"Descon","Reschedule"},Detail.!$N:$N,E80))</f>
        <v>0</v>
      </c>
      <c r="F82" cm="1">
        <f t="array" ref="F82">SUM(SUMIFS(Detail.!$S:$S,Detail.!$D:$D,{"Descon","Reschedule"},Detail.!$N:$N,F80))</f>
        <v>0</v>
      </c>
      <c r="G82" cm="1">
        <f t="array" ref="G82">SUM(SUMIFS(Detail.!$S:$S,Detail.!$D:$D,{"Descon","Reschedule"},Detail.!$N:$N,G80))</f>
        <v>0</v>
      </c>
      <c r="H82" cm="1">
        <f t="array" ref="H82">SUM(SUMIFS(Detail.!$S:$S,Detail.!$D:$D,{"Descon","Reschedule"},Detail.!$N:$N,H80))</f>
        <v>0</v>
      </c>
      <c r="I82" cm="1">
        <f t="array" ref="I82">SUM(SUMIFS(Detail.!$S:$S,Detail.!$D:$D,{"Descon","Reschedule"},Detail.!$N:$N,I80))</f>
        <v>0</v>
      </c>
      <c r="J82" cm="1">
        <f t="array" ref="J82">SUM(SUMIFS(Detail.!$S:$S,Detail.!$D:$D,{"Descon","Reschedule"},Detail.!$N:$N,J80))</f>
        <v>0</v>
      </c>
      <c r="K82" cm="1">
        <f t="array" ref="K82">SUM(SUMIFS(Detail.!$S:$S,Detail.!$D:$D,{"Descon","Reschedule"},Detail.!$N:$N,K80))</f>
        <v>0</v>
      </c>
      <c r="L82" cm="1">
        <f t="array" ref="L82">SUM(SUMIFS(Detail.!$S:$S,Detail.!$D:$D,{"Descon","Reschedule"},Detail.!$N:$N,L80))</f>
        <v>0</v>
      </c>
      <c r="M82" cm="1">
        <f t="array" ref="M82">SUM(SUMIFS(Detail.!$S:$S,Detail.!$D:$D,{"Descon","Reschedule"},Detail.!$N:$N,M80))</f>
        <v>0</v>
      </c>
      <c r="N82" cm="1">
        <f t="array" ref="N82">SUM(SUMIFS(Detail.!$S:$S,Detail.!$D:$D,{"Descon","Reschedule"},Detail.!$N:$N,N80))</f>
        <v>0</v>
      </c>
      <c r="O82" cm="1">
        <f t="array" ref="O82">SUM(SUMIFS(Detail.!$S:$S,Detail.!$D:$D,{"Descon","Reschedule"},Detail.!$N:$N,O80))</f>
        <v>0</v>
      </c>
      <c r="P82" cm="1">
        <f t="array" ref="P82">SUM(SUMIFS(Detail.!$S:$S,Detail.!$D:$D,{"Descon","Reschedule"},Detail.!$N:$N,P80))</f>
        <v>0</v>
      </c>
      <c r="Q82" cm="1">
        <f t="array" ref="Q82">SUM(SUMIFS(Detail.!$S:$S,Detail.!$D:$D,{"Descon","Reschedule"},Detail.!$N:$N,Q80))</f>
        <v>0</v>
      </c>
      <c r="R82" cm="1">
        <f t="array" ref="R82">SUM(SUMIFS(Detail.!$S:$S,Detail.!$D:$D,{"Descon","Reschedule"},Detail.!$N:$N,R80))</f>
        <v>0</v>
      </c>
      <c r="S82" cm="1">
        <f t="array" ref="S82">SUM(SUMIFS(Detail.!$S:$S,Detail.!$D:$D,{"Descon","Reschedule"},Detail.!$N:$N,S80))</f>
        <v>0</v>
      </c>
      <c r="T82" cm="1">
        <f t="array" ref="T82">SUM(SUMIFS(Detail.!$S:$S,Detail.!$D:$D,{"Descon","Reschedule"},Detail.!$N:$N,T80))</f>
        <v>0</v>
      </c>
      <c r="U82" cm="1">
        <f t="array" ref="U82">SUM(SUMIFS(Detail.!$S:$S,Detail.!$D:$D,{"Descon","Reschedule"},Detail.!$N:$N,U80))</f>
        <v>0</v>
      </c>
      <c r="V82" cm="1">
        <f t="array" ref="V82">SUM(SUMIFS(Detail.!$S:$S,Detail.!$D:$D,{"Descon","Reschedule"},Detail.!$N:$N,V80))</f>
        <v>0</v>
      </c>
      <c r="W82" cm="1">
        <f t="array" ref="W82">SUM(SUMIFS(Detail.!$S:$S,Detail.!$D:$D,{"Descon","Reschedule"},Detail.!$N:$N,W80))</f>
        <v>0</v>
      </c>
      <c r="X82" cm="1">
        <f t="array" ref="X82">SUM(SUMIFS(Detail.!$S:$S,Detail.!$D:$D,{"Descon","Reschedule"},Detail.!$N:$N,X80))</f>
        <v>0</v>
      </c>
      <c r="Y82" cm="1">
        <f t="array" ref="Y82">SUM(SUMIFS(Detail.!$S:$S,Detail.!$D:$D,{"Descon","Reschedule"},Detail.!$N:$N,Y80))</f>
        <v>0</v>
      </c>
      <c r="Z82" cm="1">
        <f t="array" ref="Z82">SUM(SUMIFS(Detail.!$S:$S,Detail.!$D:$D,{"Descon","Reschedule"},Detail.!$N:$N,Z80))</f>
        <v>0</v>
      </c>
      <c r="AA82" cm="1">
        <f t="array" ref="AA82">SUM(SUMIFS(Detail.!$S:$S,Detail.!$D:$D,{"Descon","Reschedule"},Detail.!$N:$N,AA80))</f>
        <v>0</v>
      </c>
      <c r="AB82" cm="1">
        <f t="array" ref="AB82">SUM(SUMIFS(Detail.!$S:$S,Detail.!$D:$D,{"Descon","Reschedule"},Detail.!$N:$N,AB80))</f>
        <v>0</v>
      </c>
      <c r="AC82" cm="1">
        <f t="array" ref="AC82">SUM(SUMIFS(Detail.!$S:$S,Detail.!$D:$D,{"Descon","Reschedule"},Detail.!$N:$N,AC80))</f>
        <v>0</v>
      </c>
      <c r="AD82" cm="1">
        <f t="array" ref="AD82">SUM(SUMIFS(Detail.!$S:$S,Detail.!$D:$D,{"Descon","Reschedule"},Detail.!$N:$N,AD80))</f>
        <v>0</v>
      </c>
      <c r="AE82" cm="1">
        <f t="array" ref="AE82">SUM(SUMIFS(Detail.!$S:$S,Detail.!$D:$D,{"Descon","Reschedule"},Detail.!$N:$N,AE80))</f>
        <v>0</v>
      </c>
      <c r="AF82" cm="1">
        <f t="array" ref="AF82">SUM(SUMIFS(Detail.!$S:$S,Detail.!$D:$D,{"Descon","Reschedule"},Detail.!$N:$N,AF80))</f>
        <v>0</v>
      </c>
    </row>
    <row r="83">
      <c r="A83" t="str">
        <v>Cumm Planned</v>
      </c>
      <c r="B83">
        <f>+B81</f>
        <v>66.2</v>
      </c>
      <c r="C83">
        <f>+B83+C81</f>
        <v>118.5</v>
      </c>
      <c r="D83">
        <f>+C83+D81</f>
        <v>184.39999999999998</v>
      </c>
      <c r="E83">
        <f>+D83+E81</f>
        <v>184.39999999999998</v>
      </c>
      <c r="F83">
        <f>+E83+F81</f>
        <v>184.39999999999998</v>
      </c>
      <c r="G83">
        <f>+F83+G81</f>
        <v>184.39999999999998</v>
      </c>
      <c r="H83">
        <f>+G83+H81</f>
        <v>184.39999999999998</v>
      </c>
      <c r="I83">
        <f>+H83+I81</f>
        <v>184.39999999999998</v>
      </c>
      <c r="J83">
        <f>+I83+J81</f>
        <v>184.39999999999998</v>
      </c>
      <c r="K83">
        <f>+J83+K81</f>
        <v>184.39999999999998</v>
      </c>
      <c r="L83">
        <f>+K83+L81</f>
        <v>184.39999999999998</v>
      </c>
      <c r="M83">
        <f>+L83+M81</f>
        <v>184.39999999999998</v>
      </c>
      <c r="N83">
        <f>+M83+N81</f>
        <v>184.39999999999998</v>
      </c>
      <c r="O83">
        <f>+N83+O81</f>
        <v>184.39999999999998</v>
      </c>
      <c r="P83">
        <f>+O83+P81</f>
        <v>184.39999999999998</v>
      </c>
      <c r="Q83">
        <f>+P83+Q81</f>
        <v>184.39999999999998</v>
      </c>
      <c r="R83">
        <f>+Q83+R81</f>
        <v>184.39999999999998</v>
      </c>
      <c r="S83">
        <f>+R83+S81</f>
        <v>184.39999999999998</v>
      </c>
      <c r="T83">
        <f>+S83+T81</f>
        <v>184.39999999999998</v>
      </c>
      <c r="U83">
        <f>+T83+U81</f>
        <v>184.39999999999998</v>
      </c>
      <c r="V83">
        <f>+U83+V81</f>
        <v>184.39999999999998</v>
      </c>
      <c r="W83">
        <f>+V83+W81</f>
        <v>184.39999999999998</v>
      </c>
      <c r="X83">
        <f>+W83+X81</f>
        <v>184.39999999999998</v>
      </c>
      <c r="Y83">
        <f>+X83+Y81</f>
        <v>184.39999999999998</v>
      </c>
      <c r="Z83">
        <f>+Y83+Z81</f>
        <v>184.39999999999998</v>
      </c>
      <c r="AA83">
        <f>+Z83+AA81</f>
        <v>184.39999999999998</v>
      </c>
      <c r="AB83">
        <f>+AA83+AB81</f>
        <v>184.39999999999998</v>
      </c>
      <c r="AC83">
        <f>+AB83+AC81</f>
        <v>184.39999999999998</v>
      </c>
      <c r="AD83">
        <f>+AC83+AD81</f>
        <v>184.39999999999998</v>
      </c>
      <c r="AE83">
        <f>+AD83+AE81</f>
        <v>184.39999999999998</v>
      </c>
      <c r="AF83">
        <f>+AE83+AF81</f>
        <v>184.39999999999998</v>
      </c>
    </row>
    <row r="84">
      <c r="A84" t="str">
        <v>Cumm Actual</v>
      </c>
      <c r="B84">
        <f>+B82</f>
        <v>48</v>
      </c>
      <c r="C84">
        <f>+B84+C82</f>
        <v>96</v>
      </c>
      <c r="D84">
        <f>+C84+D82</f>
        <v>147</v>
      </c>
      <c r="E84">
        <f>+D84+E82</f>
        <v>147</v>
      </c>
      <c r="F84">
        <f>+E84+F82</f>
        <v>147</v>
      </c>
      <c r="G84">
        <f>+F84+G82</f>
        <v>147</v>
      </c>
      <c r="H84">
        <f>+G84+H82</f>
        <v>147</v>
      </c>
      <c r="I84">
        <f>+H84+I82</f>
        <v>147</v>
      </c>
      <c r="J84">
        <f>+I84+J82</f>
        <v>147</v>
      </c>
      <c r="K84">
        <f>+J84+K82</f>
        <v>147</v>
      </c>
      <c r="L84">
        <f>+K84+L82</f>
        <v>147</v>
      </c>
      <c r="M84">
        <f>+L84+M82</f>
        <v>147</v>
      </c>
      <c r="N84">
        <f>+M84+N82</f>
        <v>147</v>
      </c>
      <c r="O84">
        <f>+N84+O82</f>
        <v>147</v>
      </c>
      <c r="P84">
        <f>+O84+P82</f>
        <v>147</v>
      </c>
      <c r="Q84">
        <f>+P84+Q82</f>
        <v>147</v>
      </c>
      <c r="R84">
        <f>+Q84+R82</f>
        <v>147</v>
      </c>
      <c r="S84">
        <f>+R84+S82</f>
        <v>147</v>
      </c>
      <c r="T84">
        <f>+S84+T82</f>
        <v>147</v>
      </c>
      <c r="U84">
        <f>+T84+U82</f>
        <v>147</v>
      </c>
      <c r="V84">
        <f>+U84+V82</f>
        <v>147</v>
      </c>
      <c r="W84">
        <f>+V84+W82</f>
        <v>147</v>
      </c>
      <c r="X84">
        <f>+W84+X82</f>
        <v>147</v>
      </c>
      <c r="Y84">
        <f>+X84+Y82</f>
        <v>147</v>
      </c>
      <c r="Z84">
        <f>+Y84+Z82</f>
        <v>147</v>
      </c>
      <c r="AA84">
        <f>+Z84+AA82</f>
        <v>147</v>
      </c>
      <c r="AB84">
        <f>+AA84+AB82</f>
        <v>147</v>
      </c>
      <c r="AC84">
        <f>+AB84+AC82</f>
        <v>147</v>
      </c>
      <c r="AD84">
        <f>+AC84+AD82</f>
        <v>147</v>
      </c>
      <c r="AE84">
        <f>+AD84+AE82</f>
        <v>147</v>
      </c>
      <c r="AF84">
        <f>+AE84+AF82</f>
        <v>147</v>
      </c>
    </row>
    <row r="85">
      <c r="A85" t="str">
        <v>Available Cumm Mhrs</v>
      </c>
      <c r="B85">
        <v>48</v>
      </c>
      <c r="C85">
        <f>+B85+48</f>
        <v>96</v>
      </c>
      <c r="D85">
        <f>+C85+48</f>
        <v>144</v>
      </c>
      <c r="E85">
        <v>144</v>
      </c>
      <c r="F85">
        <v>144</v>
      </c>
      <c r="G85">
        <f>+F85+48</f>
        <v>192</v>
      </c>
      <c r="H85">
        <f>+G85+48</f>
        <v>240</v>
      </c>
      <c r="I85">
        <f>+H85+48</f>
        <v>288</v>
      </c>
      <c r="J85">
        <f>+I85+48</f>
        <v>336</v>
      </c>
      <c r="K85">
        <f>+J85+48</f>
        <v>384</v>
      </c>
      <c r="L85">
        <v>384</v>
      </c>
      <c r="M85">
        <v>384</v>
      </c>
      <c r="N85">
        <f>+M85+48</f>
        <v>432</v>
      </c>
      <c r="O85">
        <f>+N85+48</f>
        <v>480</v>
      </c>
      <c r="P85">
        <f>+O85+48</f>
        <v>528</v>
      </c>
      <c r="Q85">
        <f>+P85+48</f>
        <v>576</v>
      </c>
      <c r="R85">
        <f>+Q85+48</f>
        <v>624</v>
      </c>
      <c r="S85">
        <v>624</v>
      </c>
      <c r="T85">
        <v>624</v>
      </c>
      <c r="U85">
        <f>+T85+48</f>
        <v>672</v>
      </c>
      <c r="V85">
        <f>+U85+48</f>
        <v>720</v>
      </c>
      <c r="W85">
        <f>+V85+48</f>
        <v>768</v>
      </c>
      <c r="X85">
        <f>+W85+48</f>
        <v>816</v>
      </c>
      <c r="Y85">
        <f>+X85+48</f>
        <v>864</v>
      </c>
      <c r="Z85">
        <v>864</v>
      </c>
      <c r="AA85">
        <v>864</v>
      </c>
      <c r="AB85">
        <f>+AA85+48</f>
        <v>912</v>
      </c>
      <c r="AC85">
        <f>+AB85+48</f>
        <v>960</v>
      </c>
      <c r="AD85">
        <f>+AC85+48</f>
        <v>1008</v>
      </c>
      <c r="AE85">
        <f>+AD85+48</f>
        <v>1056</v>
      </c>
    </row>
    <row r="87">
      <c r="AB87">
        <v>6</v>
      </c>
    </row>
    <row r="88">
      <c r="A88" t="str">
        <v>Actual MHr</v>
      </c>
      <c r="B88">
        <f>+IF(B81=0,SUM(B82),IF(B82&lt;48,SUM($B$85),IF(B82&gt;=48,SUM(B82))))</f>
        <v>48</v>
      </c>
      <c r="C88">
        <f>+IF(C81=0,SUM(C82),IF(C82&lt;48,SUM($B$85),IF(C82&gt;=48,SUM(C82))))</f>
        <v>48</v>
      </c>
      <c r="D88">
        <f>+IF(D81=0,SUM(D82),IF(D82&lt;48,SUM($C$85),IF(D82&gt;=48,SUM(D82))))</f>
        <v>51</v>
      </c>
      <c r="E88">
        <f>+IF(E81=0,SUM(E82),IF(E82&lt;48,SUM($C$85),IF(E82&gt;=48,SUM(E82))))</f>
        <v>0</v>
      </c>
      <c r="F88">
        <f>+IF(F81=0,SUM(F82),IF(F82&lt;48,SUM($C$85),IF(F82&gt;=48,SUM(F82))))</f>
        <v>0</v>
      </c>
      <c r="G88">
        <f>+IF(G81=0,SUM(G82),IF(G82&lt;48,SUM($C$85),IF(G82&gt;=48,SUM(G82))))</f>
        <v>0</v>
      </c>
      <c r="H88">
        <f>+IF(H81=0,SUM(H82),IF(H82&lt;48,SUM($C$85),IF(H82&gt;=48,SUM(H82))))</f>
        <v>0</v>
      </c>
      <c r="I88">
        <f>+IF(I81=0,SUM(I82),IF(I82&lt;48,SUM($C$85),IF(I82&gt;=48,SUM(I82))))</f>
        <v>0</v>
      </c>
      <c r="J88">
        <f>+IF(J81=0,SUM(J82),IF(J82&lt;48,SUM($C$85),IF(J82&gt;=48,SUM(J82))))</f>
        <v>0</v>
      </c>
      <c r="K88">
        <f>+IF(K81=0,SUM(K82),IF(K82&lt;48,SUM($C$85),IF(K82&gt;=48,SUM(K82))))</f>
        <v>0</v>
      </c>
      <c r="L88">
        <f>+IF(L81=0,SUM(L82),IF(L82&lt;48,SUM($C$85),IF(L82&gt;=48,SUM(L82))))</f>
        <v>0</v>
      </c>
      <c r="M88">
        <f>+IF(M81=0,SUM(M82),IF(M82&lt;48,SUM($C$85),IF(M82&gt;=48,SUM(M82))))</f>
        <v>0</v>
      </c>
      <c r="N88">
        <f>+IF(N81=0,SUM(N82),IF(N82&lt;48,SUM($C$85),IF(N82&gt;=48,SUM(N82))))</f>
        <v>0</v>
      </c>
      <c r="O88">
        <f>+IF(O81=0,SUM(O82),IF(O82&lt;48,SUM($C$85),IF(O82&gt;=48,SUM(O82))))</f>
        <v>0</v>
      </c>
      <c r="P88">
        <f>+IF(P81=0,SUM(P82),IF(P82&lt;48,SUM($C$85),IF(P82&gt;=48,SUM(P82))))</f>
        <v>0</v>
      </c>
      <c r="Q88">
        <f>+IF(Q81=0,SUM(Q82),IF(Q82&lt;48,SUM($C$85),IF(Q82&gt;=48,SUM(Q82))))</f>
        <v>0</v>
      </c>
      <c r="R88">
        <f>+IF(R81=0,SUM(R82),IF(R82&lt;48,SUM($C$85),IF(R82&gt;=48,SUM(R82))))</f>
        <v>0</v>
      </c>
      <c r="S88">
        <f>+IF(S81=0,SUM(S82),IF(S82&lt;48,SUM($C$85),IF(S82&gt;=48,SUM(S82))))</f>
        <v>0</v>
      </c>
      <c r="T88">
        <f>+IF(T81=0,SUM(T82),IF(T82&lt;48,SUM($C$85),IF(T82&gt;=48,SUM(T82))))</f>
        <v>0</v>
      </c>
      <c r="U88">
        <f>+IF(U81=0,SUM(U82),IF(U82&lt;48,SUM($C$85),IF(U82&gt;=48,SUM(U82))))</f>
        <v>0</v>
      </c>
      <c r="V88">
        <f>+IF(V81=0,SUM(V82),IF(V82&lt;48,SUM($C$85),IF(V82&gt;=48,SUM(V82))))</f>
        <v>0</v>
      </c>
      <c r="W88">
        <f>+IF(W81=0,SUM(W82),IF(W82&lt;48,SUM($C$85),IF(W82&gt;=48,SUM(W82))))</f>
        <v>0</v>
      </c>
      <c r="X88">
        <f>+IF(X81=0,SUM(X82),IF(X82&lt;48,SUM($C$85),IF(X82&gt;=48,SUM(X82))))</f>
        <v>0</v>
      </c>
      <c r="Y88">
        <f>+IF(Y81=0,SUM(Y82),IF(Y82&lt;48,SUM($C$85),IF(Y82&gt;=48,SUM(Y82))))</f>
        <v>0</v>
      </c>
      <c r="Z88">
        <f>+IF(Z81=0,SUM(Z82),IF(Z82&lt;48,SUM($C$85),IF(Z82&gt;=48,SUM(Z82))))</f>
        <v>0</v>
      </c>
      <c r="AA88">
        <f>+IF(AA81=0,SUM(AA82),IF(AA82&lt;48,SUM($C$85),IF(AA82&gt;=48,SUM(AA82))))</f>
        <v>0</v>
      </c>
      <c r="AB88">
        <f>+IF(AB81=0,SUM(AB82),IF(AB82&lt;48,SUM($C$85),IF(AB82&gt;=48,SUM(AB82))))</f>
        <v>0</v>
      </c>
      <c r="AC88">
        <f>+IF(AC81=0,SUM(AC82),IF(AC82&lt;48,SUM($C$85),IF(AC82&gt;=48,SUM(AC82))))</f>
        <v>0</v>
      </c>
      <c r="AD88">
        <f>+IF(AD81=0,SUM(AD82),IF(AD82&lt;48,SUM($C$85),IF(AD82&gt;=48,SUM(AD82))))</f>
        <v>0</v>
      </c>
      <c r="AE88">
        <f>+IF(AE81=0,SUM(AE82),IF(AE82&lt;48,SUM($C$85),IF(AE82&gt;=48,SUM(AE82))))</f>
        <v>0</v>
      </c>
      <c r="AF88">
        <f>+IF(AF81=0,SUM(AF82),IF(AF82&lt;48,SUM($C$85),IF(AF82&gt;=48,SUM(AF82))))</f>
        <v>0</v>
      </c>
      <c r="AG88">
        <f>SUM(C88:AF88)</f>
        <v>99</v>
      </c>
      <c r="AH88">
        <f>SUM(B88:AG88)</f>
        <v>246</v>
      </c>
    </row>
  </sheetData>
  <mergeCells count="20">
    <mergeCell ref="A12:AA12"/>
    <mergeCell ref="B14:F14"/>
    <mergeCell ref="G14:J14"/>
    <mergeCell ref="K14:N14"/>
    <mergeCell ref="O14:R14"/>
    <mergeCell ref="A14:A15"/>
    <mergeCell ref="A9:A10"/>
    <mergeCell ref="B9:F9"/>
    <mergeCell ref="G9:J9"/>
    <mergeCell ref="K9:N9"/>
    <mergeCell ref="O9:R9"/>
    <mergeCell ref="O22:R22"/>
    <mergeCell ref="B22:F22"/>
    <mergeCell ref="G22:J22"/>
    <mergeCell ref="K22:N22"/>
    <mergeCell ref="A22:A24"/>
    <mergeCell ref="B23:F23"/>
    <mergeCell ref="G23:J23"/>
    <mergeCell ref="K23:N23"/>
    <mergeCell ref="O23:R23"/>
  </mergeCells>
  <pageMargins left="0.7086614173228347" right="0.7086614173228347" top="0.9448818897637796" bottom="0.9448818897637796" header="0.31496062992125984" footer="0.31496062992125984"/>
  <ignoredErrors>
    <ignoredError numberStoredAsText="1" sqref="A1:AJ8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80"/>
  <sheetViews>
    <sheetView workbookViewId="0" rightToLeft="0"/>
  </sheetViews>
  <sheetData>
    <row r="1">
      <c r="A1" t="str">
        <v>Daily Progress Report  OQ-AP-AMC (Static Team Descon)</v>
      </c>
    </row>
    <row r="2">
      <c r="A2" t="str">
        <v>APSTT1 Job Summary (Sep-26)</v>
      </c>
    </row>
    <row r="3">
      <c r="A3" t="str">
        <v>Description</v>
      </c>
      <c r="B3" t="str">
        <v>Planned</v>
      </c>
      <c r="C3" t="str">
        <v>Completed</v>
      </c>
      <c r="D3" t="str">
        <v>%age</v>
      </c>
    </row>
    <row r="4">
      <c r="A4" t="str">
        <v>PM</v>
      </c>
      <c r="B4">
        <f>+COUNTIFS(I:I,"ZPM",D:D,"Descon")</f>
        <v>5</v>
      </c>
      <c r="C4">
        <f>COUNTIFS(D11:D1681,"Descon",O11:O1681,"&gt;0",I11:I1681,"ZPM")</f>
        <v>5</v>
      </c>
      <c r="D4">
        <f>+C4/B4</f>
        <v>1</v>
      </c>
    </row>
    <row r="5">
      <c r="A5" t="str">
        <v>CM</v>
      </c>
      <c r="B5">
        <f>+COUNTIFS(I:I,"ZCR",D:D,"Descon")</f>
        <v>56</v>
      </c>
      <c r="C5">
        <f>COUNTIFS(D11:D79,"Descon",O11:O79,"&gt;0",I11:I79,"ZCR")</f>
        <v>46</v>
      </c>
      <c r="D5">
        <f>+C5/B5</f>
        <v>0.8214285714285714</v>
      </c>
    </row>
    <row r="6">
      <c r="A6" t="str">
        <v>General</v>
      </c>
      <c r="B6" cm="1">
        <f t="array" ref="B6">+SUMPRODUCT(COUNTIFS(I:I,{"ZGA","ZPJ"},D:D,"Descon"))</f>
        <v>0</v>
      </c>
      <c r="C6" cm="1">
        <f t="array" ref="C6">SUMPRODUCT(COUNTIFS(D12:D34,"Descon",O12:O34,"&gt;0",I12:I34,{"ZGA","ZPJ"}))</f>
        <v>0</v>
      </c>
      <c r="D6" t="e">
        <f>+C6/B6</f>
        <v>#DIV/0!</v>
      </c>
    </row>
    <row r="7">
      <c r="A7" t="str">
        <v>Total</v>
      </c>
      <c r="B7">
        <f>SUM(B4:B5)</f>
        <v>61</v>
      </c>
      <c r="C7">
        <f>SUM(C4:C5)</f>
        <v>51</v>
      </c>
      <c r="D7">
        <f>+C7/B7</f>
        <v>0.8360655737704918</v>
      </c>
    </row>
    <row r="9">
      <c r="A9" t="str">
        <v>Date</v>
      </c>
      <c r="B9">
        <f>+TODAY()</f>
        <v>46271</v>
      </c>
    </row>
    <row r="10" xml:space="preserve">
      <c r="A10" t="str">
        <v>Sr.#</v>
      </c>
      <c r="B10" t="str">
        <v>Work Center</v>
      </c>
      <c r="C10" t="str">
        <v>WO#</v>
      </c>
      <c r="D10" t="str">
        <v>Scope</v>
      </c>
      <c r="E10" t="str">
        <v>Operation Short Text</v>
      </c>
      <c r="F10" t="str">
        <v>Location</v>
      </c>
      <c r="G10" t="str">
        <v>ABC Indicator</v>
      </c>
      <c r="H10" t="str">
        <v>Priority Type</v>
      </c>
      <c r="I10" t="str">
        <v>PM/CM</v>
      </c>
      <c r="J10" t="str">
        <v>Sort Field</v>
      </c>
      <c r="K10" t="str">
        <v>Size</v>
      </c>
      <c r="L10" t="str">
        <v>Plan start date</v>
      </c>
      <c r="M10" t="str">
        <v>Earliest Finish date</v>
      </c>
      <c r="N10" t="str">
        <v>Actual Start Dtae</v>
      </c>
      <c r="O10" t="str">
        <v>Acutal Finish Date</v>
      </c>
      <c r="P10" t="str">
        <v>Contractual MH</v>
      </c>
      <c r="Q10" t="str">
        <v>Plan Hrs (Mech)</v>
      </c>
      <c r="R10" t="str">
        <v>Actual Man Power</v>
      </c>
      <c r="S10" t="str">
        <v>Actual Hrs</v>
      </c>
      <c r="T10" t="str">
        <v>Permit Issued</v>
      </c>
      <c r="U10" t="str">
        <v>Work Statred</v>
      </c>
      <c r="V10" t="str">
        <v>Work Completed</v>
      </c>
      <c r="W10" t="str">
        <v>Remaining Work</v>
      </c>
      <c r="X10" t="str">
        <v>Completed Work</v>
      </c>
      <c r="Y10" t="str">
        <v>Status</v>
      </c>
      <c r="Z10" t="str">
        <v>Weeks</v>
      </c>
      <c r="AA10" t="str" xml:space="preserve">
        <v xml:space="preserve">ColuQuality KPI_x000d_
Re-worl/Leakagemn1</v>
      </c>
      <c r="AB10" t="str">
        <v>Balance Status</v>
      </c>
      <c r="AC10" t="str">
        <v>Remarks</v>
      </c>
    </row>
    <row r="11">
      <c r="A11">
        <v>1</v>
      </c>
      <c r="B11" t="str">
        <v>APSTT1</v>
      </c>
      <c r="C11" t="str">
        <v>401572541</v>
      </c>
      <c r="D11" t="str">
        <v>Descon</v>
      </c>
      <c r="E11" t="str">
        <v>3 Weekly Vent Silencer Cleaning</v>
      </c>
      <c r="F11" t="str">
        <v>AR-AREA1</v>
      </c>
      <c r="G11" t="str">
        <v>B</v>
      </c>
      <c r="H11" t="str">
        <v>ZM</v>
      </c>
      <c r="I11" t="str">
        <v>ZPM</v>
      </c>
      <c r="J11" t="str">
        <v>X-A9902C</v>
      </c>
      <c r="L11">
        <v>46266</v>
      </c>
      <c r="M11">
        <v>46266</v>
      </c>
      <c r="N11">
        <v>46266</v>
      </c>
      <c r="O11">
        <v>46266</v>
      </c>
      <c r="P11" t="str">
        <v>Misc</v>
      </c>
      <c r="Q11">
        <v>9</v>
      </c>
      <c r="R11">
        <v>4</v>
      </c>
      <c r="S11">
        <v>8</v>
      </c>
      <c r="T11">
        <v>46266</v>
      </c>
      <c r="U11">
        <v>46266</v>
      </c>
      <c r="V11">
        <v>46266</v>
      </c>
      <c r="W11">
        <f>1-X11</f>
        <v>0</v>
      </c>
      <c r="X11">
        <v>1</v>
      </c>
      <c r="Y11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1" t="str">
        <v>W1</v>
      </c>
      <c r="AC11" t="str">
        <v>Completed</v>
      </c>
    </row>
    <row r="12">
      <c r="A12">
        <f>+A11+1</f>
        <v>2</v>
      </c>
      <c r="B12" t="str">
        <v>APSTT1</v>
      </c>
      <c r="C12" t="str">
        <v>401579422</v>
      </c>
      <c r="D12" t="str">
        <v>Descon</v>
      </c>
      <c r="E12" t="str">
        <v>6 Weekly Pre/After Filter Cleaning</v>
      </c>
      <c r="F12" t="str">
        <v>AR-AREA1</v>
      </c>
      <c r="G12" t="str">
        <v>B</v>
      </c>
      <c r="H12" t="str">
        <v>ZM</v>
      </c>
      <c r="I12" t="str">
        <v>ZPM</v>
      </c>
      <c r="J12" t="str">
        <v>X-A9902C</v>
      </c>
      <c r="L12">
        <v>46266</v>
      </c>
      <c r="M12">
        <v>46266</v>
      </c>
      <c r="N12">
        <v>46266</v>
      </c>
      <c r="O12">
        <v>46266</v>
      </c>
      <c r="P12" t="str">
        <v>Misc</v>
      </c>
      <c r="Q12">
        <v>12</v>
      </c>
      <c r="R12">
        <v>3</v>
      </c>
      <c r="S12">
        <v>9</v>
      </c>
      <c r="T12">
        <v>46266</v>
      </c>
      <c r="U12">
        <v>46266</v>
      </c>
      <c r="V12">
        <v>46266</v>
      </c>
      <c r="W12">
        <f>1-X12</f>
        <v>0</v>
      </c>
      <c r="X12">
        <v>1</v>
      </c>
      <c r="Y12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2" t="str">
        <v>W1</v>
      </c>
      <c r="AC12" t="str">
        <v>Completed. Filter was removed, inspected, and found in satisfactory clean condition.</v>
      </c>
    </row>
    <row r="13">
      <c r="A13">
        <f>+A12+1</f>
        <v>3</v>
      </c>
      <c r="B13" t="str">
        <v>APSTT1</v>
      </c>
      <c r="C13" t="str">
        <v>401598001</v>
      </c>
      <c r="D13" t="str">
        <v>Descon</v>
      </c>
      <c r="E13" t="str">
        <v>Deblinding for agitator  (1"Class150)</v>
      </c>
      <c r="F13" t="str">
        <v>AR-AREA2</v>
      </c>
      <c r="G13" t="str">
        <v>C</v>
      </c>
      <c r="H13" t="str">
        <v>ZP</v>
      </c>
      <c r="I13" t="str">
        <v>ZCR</v>
      </c>
      <c r="J13" t="str">
        <v>X-A1102-A01</v>
      </c>
      <c r="K13" t="str">
        <v>1"150(02)</v>
      </c>
      <c r="L13">
        <v>46266</v>
      </c>
      <c r="M13">
        <v>46266</v>
      </c>
      <c r="N13">
        <v>46266</v>
      </c>
      <c r="O13">
        <v>46266</v>
      </c>
      <c r="P13" t="str">
        <v>Misc</v>
      </c>
      <c r="Q13">
        <v>1.4</v>
      </c>
      <c r="R13">
        <v>2</v>
      </c>
      <c r="S13">
        <v>2</v>
      </c>
      <c r="T13">
        <v>46266</v>
      </c>
      <c r="U13">
        <v>46266</v>
      </c>
      <c r="V13">
        <v>46266</v>
      </c>
      <c r="W13">
        <f>1-X13</f>
        <v>0</v>
      </c>
      <c r="X13">
        <v>1</v>
      </c>
      <c r="Y13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3" t="str">
        <v>W1</v>
      </c>
      <c r="AC13" t="str">
        <v>Completed</v>
      </c>
    </row>
    <row r="14">
      <c r="A14">
        <f>+A13+1</f>
        <v>4</v>
      </c>
      <c r="B14" t="str">
        <v>APSTT1</v>
      </c>
      <c r="C14" t="str">
        <v>401598001</v>
      </c>
      <c r="D14" t="str">
        <v>Descon</v>
      </c>
      <c r="E14" t="str">
        <v>Deblinding for agitator (1-1/2"Class150)</v>
      </c>
      <c r="F14" t="str">
        <v>AR-AREA2</v>
      </c>
      <c r="G14" t="str">
        <v>C</v>
      </c>
      <c r="H14" t="str">
        <v>ZP</v>
      </c>
      <c r="I14" t="str">
        <v>ZCR</v>
      </c>
      <c r="J14" t="str">
        <v>X-A1102-A01</v>
      </c>
      <c r="L14">
        <v>46266</v>
      </c>
      <c r="M14">
        <v>46266</v>
      </c>
      <c r="N14">
        <v>46266</v>
      </c>
      <c r="O14">
        <v>46266</v>
      </c>
      <c r="P14" t="str">
        <v>Misc</v>
      </c>
      <c r="Q14">
        <v>1.6</v>
      </c>
      <c r="S14">
        <v>0</v>
      </c>
      <c r="T14">
        <v>46266</v>
      </c>
      <c r="U14">
        <v>46266</v>
      </c>
      <c r="V14">
        <v>46266</v>
      </c>
      <c r="W14">
        <f>1-X14</f>
        <v>0</v>
      </c>
      <c r="X14">
        <v>1</v>
      </c>
      <c r="Y14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4" t="str">
        <v>W1</v>
      </c>
      <c r="AC14" t="str">
        <v>Completed</v>
      </c>
    </row>
    <row r="15">
      <c r="A15">
        <f>+A14+1</f>
        <v>5</v>
      </c>
      <c r="B15" t="str">
        <v>APSTT1</v>
      </c>
      <c r="C15" t="str">
        <v>401598001</v>
      </c>
      <c r="D15" t="str">
        <v>Descon</v>
      </c>
      <c r="E15" t="str">
        <v>Deblinding for agitator (4"Class150)</v>
      </c>
      <c r="F15" t="str">
        <v>AR-AREA2</v>
      </c>
      <c r="G15" t="str">
        <v>C</v>
      </c>
      <c r="H15" t="str">
        <v>ZP</v>
      </c>
      <c r="I15" t="str">
        <v>ZCR</v>
      </c>
      <c r="J15" t="str">
        <v>X-A1102-A01</v>
      </c>
      <c r="K15" t="str">
        <v>4"150(1)</v>
      </c>
      <c r="L15">
        <v>46266</v>
      </c>
      <c r="M15">
        <v>46266</v>
      </c>
      <c r="N15">
        <v>46266</v>
      </c>
      <c r="O15">
        <v>46266</v>
      </c>
      <c r="P15" t="str">
        <v>Misc</v>
      </c>
      <c r="Q15">
        <v>2</v>
      </c>
      <c r="R15">
        <v>2</v>
      </c>
      <c r="S15">
        <v>2</v>
      </c>
      <c r="T15">
        <v>46266</v>
      </c>
      <c r="U15">
        <v>46266</v>
      </c>
      <c r="V15">
        <v>46266</v>
      </c>
      <c r="W15">
        <f>1-X15</f>
        <v>0</v>
      </c>
      <c r="X15">
        <v>1</v>
      </c>
      <c r="Y15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5" t="str">
        <v>W1</v>
      </c>
      <c r="AC15" t="str">
        <v>Completed</v>
      </c>
    </row>
    <row r="16">
      <c r="A16">
        <f>+A15+1</f>
        <v>6</v>
      </c>
      <c r="B16" t="str">
        <v>APSTT1</v>
      </c>
      <c r="C16" t="str">
        <v>401598001</v>
      </c>
      <c r="D16" t="str">
        <v>Descon</v>
      </c>
      <c r="E16" t="str">
        <v>Deblinding for agitator (6"Class150)</v>
      </c>
      <c r="F16" t="str">
        <v>AR-AREA2</v>
      </c>
      <c r="G16" t="str">
        <v>C</v>
      </c>
      <c r="H16" t="str">
        <v>ZP</v>
      </c>
      <c r="I16" t="str">
        <v>ZCR</v>
      </c>
      <c r="J16" t="str">
        <v>X-A1102-A01</v>
      </c>
      <c r="K16" t="str">
        <v>6"150(1)</v>
      </c>
      <c r="L16">
        <v>46266</v>
      </c>
      <c r="M16">
        <v>46266</v>
      </c>
      <c r="N16">
        <v>46266</v>
      </c>
      <c r="O16">
        <v>46266</v>
      </c>
      <c r="P16" t="str">
        <v>Misc</v>
      </c>
      <c r="Q16">
        <v>2.4</v>
      </c>
      <c r="R16">
        <v>3</v>
      </c>
      <c r="S16">
        <v>3</v>
      </c>
      <c r="T16">
        <v>46266</v>
      </c>
      <c r="U16">
        <v>46266</v>
      </c>
      <c r="V16">
        <v>46266</v>
      </c>
      <c r="W16">
        <f>1-X16</f>
        <v>0</v>
      </c>
      <c r="X16">
        <v>1</v>
      </c>
      <c r="Y16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6" t="str">
        <v>W1</v>
      </c>
      <c r="AC16" t="str">
        <v>Completed</v>
      </c>
    </row>
    <row r="17">
      <c r="A17">
        <f>+A16+1</f>
        <v>7</v>
      </c>
      <c r="B17" t="str">
        <v>APSTT1</v>
      </c>
      <c r="C17" t="str">
        <v>401650296</v>
      </c>
      <c r="D17" t="str">
        <v>Descon</v>
      </c>
      <c r="E17" t="str">
        <v>F-A3001 bnr #50 FG leak(union), attend</v>
      </c>
      <c r="F17" t="str">
        <v>AR-AREA4</v>
      </c>
      <c r="G17" t="str">
        <v>B</v>
      </c>
      <c r="H17" t="str">
        <v>ZP</v>
      </c>
      <c r="I17" t="str">
        <v>ZCR</v>
      </c>
      <c r="J17" t="str">
        <v>F-A3001</v>
      </c>
      <c r="L17">
        <v>46266</v>
      </c>
      <c r="M17">
        <v>46266</v>
      </c>
      <c r="P17" t="str">
        <v>Misc</v>
      </c>
      <c r="Q17">
        <v>2</v>
      </c>
      <c r="W17">
        <f>1-X17</f>
        <v>1</v>
      </c>
      <c r="Y17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7" t="str">
        <v>W1</v>
      </c>
      <c r="AC17" t="str">
        <v>Job could not be attended as the team was reassigned to a Priority-1 blinding activity for V-A2008, which was not included in today's plan.</v>
      </c>
    </row>
    <row r="18">
      <c r="A18">
        <f>+A17+1</f>
        <v>8</v>
      </c>
      <c r="B18" t="str">
        <v>APSTT1</v>
      </c>
      <c r="C18" t="str">
        <v>401558327</v>
      </c>
      <c r="D18" t="str">
        <v>Descon</v>
      </c>
      <c r="E18" t="str">
        <v>Fix back RV (Size0.5"150# RF)</v>
      </c>
      <c r="F18" t="str">
        <v>AR-AREA4</v>
      </c>
      <c r="G18" t="str">
        <v>B</v>
      </c>
      <c r="H18" t="str">
        <v>ZM</v>
      </c>
      <c r="I18" t="str">
        <v>ZPM</v>
      </c>
      <c r="J18" t="str">
        <v>A31-PSV-715CX</v>
      </c>
      <c r="K18" t="str">
        <v>0.5"</v>
      </c>
      <c r="L18">
        <v>46266</v>
      </c>
      <c r="M18">
        <v>46266</v>
      </c>
      <c r="N18">
        <v>46266</v>
      </c>
      <c r="O18">
        <v>46266</v>
      </c>
      <c r="P18" t="str">
        <v>Misc</v>
      </c>
      <c r="Q18">
        <v>2</v>
      </c>
      <c r="R18">
        <v>2</v>
      </c>
      <c r="S18">
        <v>2</v>
      </c>
      <c r="T18">
        <v>46266</v>
      </c>
      <c r="U18">
        <v>46266</v>
      </c>
      <c r="V18">
        <v>46266</v>
      </c>
      <c r="W18">
        <f>1-X18</f>
        <v>0</v>
      </c>
      <c r="X18">
        <v>1</v>
      </c>
      <c r="Y18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8" t="str">
        <v>W1</v>
      </c>
      <c r="AC18" t="str">
        <v>Completed</v>
      </c>
    </row>
    <row r="19">
      <c r="A19">
        <f>+A18+1</f>
        <v>9</v>
      </c>
      <c r="B19" t="str">
        <v>APSTT1</v>
      </c>
      <c r="C19" t="str">
        <v>401499531</v>
      </c>
      <c r="D19" t="str">
        <v>Descon</v>
      </c>
      <c r="E19" t="str">
        <v>Fix back RV (Size0.75"150# RF)</v>
      </c>
      <c r="F19" t="str">
        <v>AR-AREA4</v>
      </c>
      <c r="G19" t="str">
        <v>B</v>
      </c>
      <c r="H19" t="str">
        <v>ZM</v>
      </c>
      <c r="I19" t="str">
        <v>ZPM</v>
      </c>
      <c r="J19" t="str">
        <v>A31-PSV-027C</v>
      </c>
      <c r="K19" t="str">
        <v>0.75"</v>
      </c>
      <c r="L19">
        <v>46266</v>
      </c>
      <c r="M19">
        <v>46266</v>
      </c>
      <c r="N19">
        <v>46266</v>
      </c>
      <c r="O19">
        <v>46266</v>
      </c>
      <c r="P19" t="str">
        <v>Misc</v>
      </c>
      <c r="Q19">
        <v>2</v>
      </c>
      <c r="R19">
        <v>2</v>
      </c>
      <c r="S19">
        <v>2</v>
      </c>
      <c r="T19">
        <v>46266</v>
      </c>
      <c r="U19">
        <v>46266</v>
      </c>
      <c r="V19">
        <v>46266</v>
      </c>
      <c r="W19">
        <f>1-X19</f>
        <v>0</v>
      </c>
      <c r="X19">
        <v>1</v>
      </c>
      <c r="Y19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19" t="str">
        <v>W1</v>
      </c>
      <c r="AC19" t="str">
        <v>Completed</v>
      </c>
    </row>
    <row r="20">
      <c r="A20">
        <f>+A19+1</f>
        <v>10</v>
      </c>
      <c r="B20" t="str">
        <v>APSTT1</v>
      </c>
      <c r="C20" t="str">
        <v>401650296</v>
      </c>
      <c r="D20" t="str">
        <v>Descon</v>
      </c>
      <c r="E20" t="str">
        <v>Heater Blinding br#50</v>
      </c>
      <c r="F20" t="str">
        <v>AR-AREA4</v>
      </c>
      <c r="G20" t="str">
        <v>B</v>
      </c>
      <c r="H20" t="str">
        <v>ZP</v>
      </c>
      <c r="I20" t="str">
        <v>ZCR</v>
      </c>
      <c r="J20" t="str">
        <v>F-A3001</v>
      </c>
      <c r="K20" t="str">
        <v>2"150(1)0.5"(02)</v>
      </c>
      <c r="L20">
        <v>46266</v>
      </c>
      <c r="M20">
        <v>46266</v>
      </c>
      <c r="P20" t="str">
        <v>Misc</v>
      </c>
      <c r="Q20">
        <v>1</v>
      </c>
      <c r="W20">
        <f>1-X20</f>
        <v>1</v>
      </c>
      <c r="Y20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0" t="str">
        <v>W1</v>
      </c>
      <c r="AC20" t="str">
        <v>Job could not be attended as the team was reassigned to a Priority-1 blinding activity for V-A2008, which was not included in today's plan.</v>
      </c>
    </row>
    <row r="21">
      <c r="A21">
        <f>+A20+1</f>
        <v>11</v>
      </c>
      <c r="B21" t="str">
        <v>APSTT1</v>
      </c>
      <c r="C21" t="str">
        <v>401650296</v>
      </c>
      <c r="D21" t="str">
        <v>Descon</v>
      </c>
      <c r="E21" t="str">
        <v>Heater Deblinding br#50</v>
      </c>
      <c r="F21" t="str">
        <v>AR-AREA4</v>
      </c>
      <c r="G21" t="str">
        <v>B</v>
      </c>
      <c r="H21" t="str">
        <v>ZP</v>
      </c>
      <c r="I21" t="str">
        <v>ZCR</v>
      </c>
      <c r="J21" t="str">
        <v>F-A3001</v>
      </c>
      <c r="K21" t="str">
        <v>2"150(1)0.5"(02)</v>
      </c>
      <c r="L21">
        <v>46266</v>
      </c>
      <c r="M21">
        <v>46266</v>
      </c>
      <c r="P21" t="str">
        <v>Misc</v>
      </c>
      <c r="Q21">
        <v>1</v>
      </c>
      <c r="W21">
        <f>1-X21</f>
        <v>1</v>
      </c>
      <c r="Y21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1" t="str">
        <v>W1</v>
      </c>
      <c r="AC21" t="str">
        <v>Job could not be attended as the team was reassigned to a Priority-1 blinding activity for V-A2008, which was not included in today's plan.</v>
      </c>
    </row>
    <row r="22">
      <c r="A22">
        <f>+A21+1</f>
        <v>12</v>
      </c>
      <c r="B22" t="str">
        <v>APSTT1</v>
      </c>
      <c r="C22" t="str">
        <v>401536893</v>
      </c>
      <c r="D22" t="str">
        <v>OQ</v>
      </c>
      <c r="E22" t="str">
        <v>JSA prep</v>
      </c>
      <c r="F22" t="str">
        <v>AR-AREA5</v>
      </c>
      <c r="G22" t="str">
        <v>A</v>
      </c>
      <c r="H22" t="str">
        <v>ZM</v>
      </c>
      <c r="I22" t="str">
        <v>ZPM</v>
      </c>
      <c r="J22" t="str">
        <v>A40-PSV-001D</v>
      </c>
      <c r="L22">
        <v>46266</v>
      </c>
      <c r="M22">
        <v>46266</v>
      </c>
      <c r="P22" t="str">
        <v>Misc</v>
      </c>
      <c r="Q22">
        <v>0.1</v>
      </c>
      <c r="W22">
        <f>1-X22</f>
        <v>1</v>
      </c>
      <c r="Y22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2" t="str">
        <v>W1</v>
      </c>
    </row>
    <row r="23">
      <c r="A23">
        <f>+A22+1</f>
        <v>13</v>
      </c>
      <c r="B23" t="str">
        <v>APSTT1</v>
      </c>
      <c r="C23" t="str">
        <v>401510139</v>
      </c>
      <c r="D23" t="str">
        <v>OQ</v>
      </c>
      <c r="E23" t="str">
        <v>JSA prep.</v>
      </c>
      <c r="F23" t="str">
        <v>AR-AREA3</v>
      </c>
      <c r="G23" t="str">
        <v>A</v>
      </c>
      <c r="H23" t="str">
        <v>ZM</v>
      </c>
      <c r="I23" t="str">
        <v>ZPM</v>
      </c>
      <c r="J23" t="str">
        <v>A20-PSV-569B</v>
      </c>
      <c r="L23">
        <v>46266</v>
      </c>
      <c r="M23">
        <v>46266</v>
      </c>
      <c r="P23" t="str">
        <v>Misc</v>
      </c>
      <c r="Q23">
        <v>0.1</v>
      </c>
      <c r="W23">
        <f>1-X23</f>
        <v>1</v>
      </c>
      <c r="Y23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3" t="str">
        <v>W1</v>
      </c>
    </row>
    <row r="24">
      <c r="A24">
        <f>+A23+1</f>
        <v>14</v>
      </c>
      <c r="B24" t="str">
        <v>APSTT1</v>
      </c>
      <c r="C24" t="str">
        <v>401425571</v>
      </c>
      <c r="D24" t="str">
        <v>OQ</v>
      </c>
      <c r="E24" t="str">
        <v>JSA@Blind/De-blind foam chamber testing</v>
      </c>
      <c r="F24" t="str">
        <v>AR-AREA1</v>
      </c>
      <c r="G24" t="str">
        <v>D</v>
      </c>
      <c r="H24" t="str">
        <v>ZP</v>
      </c>
      <c r="I24" t="str">
        <v>ZCR</v>
      </c>
      <c r="J24" t="str">
        <v>T-A9103</v>
      </c>
      <c r="L24">
        <v>46266</v>
      </c>
      <c r="M24">
        <v>46266</v>
      </c>
      <c r="P24" t="str">
        <v>Misc</v>
      </c>
      <c r="Q24">
        <v>0.1</v>
      </c>
      <c r="W24">
        <f>1-X24</f>
        <v>1</v>
      </c>
      <c r="Y24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4" t="str">
        <v>W1</v>
      </c>
    </row>
    <row r="25">
      <c r="A25">
        <f>+A24+1</f>
        <v>15</v>
      </c>
      <c r="B25" t="str">
        <v>APSTT1</v>
      </c>
      <c r="C25" t="str">
        <v>401660221</v>
      </c>
      <c r="D25" t="str">
        <v>Descon</v>
      </c>
      <c r="E25" t="str">
        <v>P-A3111A disch I/V hard to operate,recti</v>
      </c>
      <c r="F25" t="str">
        <v>AR-AREA4</v>
      </c>
      <c r="G25" t="str">
        <v>B</v>
      </c>
      <c r="H25" t="str">
        <v>ZP</v>
      </c>
      <c r="I25" t="str">
        <v>ZCR</v>
      </c>
      <c r="J25" t="str">
        <v>P-A3111A</v>
      </c>
      <c r="L25">
        <v>46266</v>
      </c>
      <c r="M25">
        <v>46266</v>
      </c>
      <c r="N25">
        <v>46266</v>
      </c>
      <c r="O25">
        <v>46266</v>
      </c>
      <c r="P25" t="str">
        <v>Misc</v>
      </c>
      <c r="Q25">
        <v>9</v>
      </c>
      <c r="R25">
        <v>2</v>
      </c>
      <c r="S25">
        <v>4</v>
      </c>
      <c r="T25">
        <v>46266</v>
      </c>
      <c r="U25">
        <v>46266</v>
      </c>
      <c r="V25">
        <v>46266</v>
      </c>
      <c r="W25">
        <f>1-X25</f>
        <v>0</v>
      </c>
      <c r="X25">
        <v>1</v>
      </c>
      <c r="Y25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5" t="str">
        <v>W1</v>
      </c>
      <c r="AC25" t="str">
        <v>Completed</v>
      </c>
    </row>
    <row r="26">
      <c r="A26">
        <f>+A25+1</f>
        <v>16</v>
      </c>
      <c r="B26" t="str">
        <v>APSTT1</v>
      </c>
      <c r="C26" t="str">
        <v>401425569</v>
      </c>
      <c r="D26" t="str">
        <v>Descon</v>
      </c>
      <c r="E26" t="str">
        <v>Pre activty FoamChamber#3 test/readiness</v>
      </c>
      <c r="F26" t="str">
        <v>AR-AREA1</v>
      </c>
      <c r="G26" t="str">
        <v>D</v>
      </c>
      <c r="H26" t="str">
        <v>ZP</v>
      </c>
      <c r="I26" t="str">
        <v>ZCR</v>
      </c>
      <c r="J26" t="str">
        <v>T-A9102</v>
      </c>
      <c r="L26">
        <v>46266</v>
      </c>
      <c r="M26">
        <v>46266</v>
      </c>
      <c r="N26">
        <v>46266</v>
      </c>
      <c r="O26">
        <v>46266</v>
      </c>
      <c r="P26" t="str">
        <v>Misc</v>
      </c>
      <c r="Q26">
        <v>8</v>
      </c>
      <c r="R26">
        <v>3</v>
      </c>
      <c r="S26">
        <v>4</v>
      </c>
      <c r="T26">
        <v>46266</v>
      </c>
      <c r="U26">
        <v>46266</v>
      </c>
      <c r="V26">
        <v>46266</v>
      </c>
      <c r="W26">
        <f>1-X26</f>
        <v>0</v>
      </c>
      <c r="X26">
        <v>1</v>
      </c>
      <c r="Y26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6" t="str">
        <v>W1</v>
      </c>
      <c r="AC26" t="str">
        <v>Completed</v>
      </c>
    </row>
    <row r="27">
      <c r="A27">
        <f>+A26+1</f>
        <v>17</v>
      </c>
      <c r="B27" t="str">
        <v>APSTT1</v>
      </c>
      <c r="C27" t="str">
        <v>401642331</v>
      </c>
      <c r="D27" t="str">
        <v>Descon</v>
      </c>
      <c r="E27" t="str">
        <v>Pullout drain Isolation Valve1/2" bonnet</v>
      </c>
      <c r="F27" t="str">
        <v>AR-AREA6</v>
      </c>
      <c r="G27" t="str">
        <v>D</v>
      </c>
      <c r="H27" t="str">
        <v>ZP</v>
      </c>
      <c r="I27" t="str">
        <v>ZCR</v>
      </c>
      <c r="J27" t="str">
        <v>A50-APK-108</v>
      </c>
      <c r="L27">
        <v>46266</v>
      </c>
      <c r="M27">
        <v>46266</v>
      </c>
      <c r="N27">
        <v>46266</v>
      </c>
      <c r="O27">
        <v>46266</v>
      </c>
      <c r="P27" t="str">
        <v>Misc</v>
      </c>
      <c r="Q27">
        <v>1</v>
      </c>
      <c r="R27">
        <v>2</v>
      </c>
      <c r="S27">
        <v>1</v>
      </c>
      <c r="T27">
        <v>46266</v>
      </c>
      <c r="U27">
        <v>46266</v>
      </c>
      <c r="V27">
        <v>46266</v>
      </c>
      <c r="W27">
        <f>1-X27</f>
        <v>0</v>
      </c>
      <c r="X27">
        <v>1</v>
      </c>
      <c r="Y27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7" t="str">
        <v>W1</v>
      </c>
      <c r="AC27" t="str">
        <v>Completed</v>
      </c>
    </row>
    <row r="28">
      <c r="A28">
        <f>+A27+1</f>
        <v>18</v>
      </c>
      <c r="B28" t="str">
        <v>APSTT1</v>
      </c>
      <c r="C28" t="str">
        <v>401651389</v>
      </c>
      <c r="D28" t="str">
        <v>Descon</v>
      </c>
      <c r="E28" t="str">
        <v>Pullout RV Passing (Size0.5"MNPT)</v>
      </c>
      <c r="F28" t="str">
        <v>AR-AREA2</v>
      </c>
      <c r="G28" t="str">
        <v>A</v>
      </c>
      <c r="H28" t="str">
        <v>ZP</v>
      </c>
      <c r="I28" t="str">
        <v>ZCR</v>
      </c>
      <c r="J28" t="str">
        <v>A12-PSV-604B</v>
      </c>
      <c r="L28">
        <v>46266</v>
      </c>
      <c r="M28">
        <v>46266</v>
      </c>
      <c r="N28">
        <v>46266</v>
      </c>
      <c r="O28">
        <v>46266</v>
      </c>
      <c r="P28" t="str">
        <v>Misc</v>
      </c>
      <c r="Q28">
        <v>2</v>
      </c>
      <c r="R28">
        <v>2</v>
      </c>
      <c r="S28">
        <v>2</v>
      </c>
      <c r="T28">
        <v>46266</v>
      </c>
      <c r="U28">
        <v>46266</v>
      </c>
      <c r="V28">
        <v>46266</v>
      </c>
      <c r="W28">
        <f>1-X28</f>
        <v>0</v>
      </c>
      <c r="X28">
        <v>1</v>
      </c>
      <c r="Y28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8" t="str">
        <v>W1</v>
      </c>
      <c r="AC28" t="str">
        <v>Completed</v>
      </c>
    </row>
    <row r="29">
      <c r="A29">
        <f>+A28+1</f>
        <v>19</v>
      </c>
      <c r="B29" t="str">
        <v>APSTT1</v>
      </c>
      <c r="C29" t="str">
        <v>401645294</v>
      </c>
      <c r="D29" t="str">
        <v>Descon</v>
      </c>
      <c r="E29" t="str">
        <v>Pullout steamtrap 3/4" ST-A30123@F-A3001</v>
      </c>
      <c r="F29" t="str">
        <v>AR-AREA4</v>
      </c>
      <c r="G29" t="str">
        <v>D</v>
      </c>
      <c r="H29" t="str">
        <v>ZP</v>
      </c>
      <c r="I29" t="str">
        <v>ZCR</v>
      </c>
      <c r="J29" t="str">
        <v>AR-AREA4 REC GENERAL U-3000</v>
      </c>
      <c r="K29" t="str">
        <v>3/4"</v>
      </c>
      <c r="L29">
        <v>46266</v>
      </c>
      <c r="M29">
        <v>46266</v>
      </c>
      <c r="P29" t="str">
        <v>Misc</v>
      </c>
      <c r="Q29">
        <v>1.4</v>
      </c>
      <c r="W29">
        <f>1-X29</f>
        <v>1</v>
      </c>
      <c r="Y29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29" t="str">
        <v>W1</v>
      </c>
      <c r="AC29" t="str">
        <v>Job could not be attended as the available man-hours were fully utilized.</v>
      </c>
    </row>
    <row r="30">
      <c r="A30">
        <f>+A29+1</f>
        <v>20</v>
      </c>
      <c r="B30" t="str">
        <v>APSTT1</v>
      </c>
      <c r="C30" t="str">
        <v>401650296</v>
      </c>
      <c r="D30" t="str">
        <v>Descon</v>
      </c>
      <c r="E30" t="str">
        <v>Removal,cleaning&amp;install br#50</v>
      </c>
      <c r="F30" t="str">
        <v>AR-AREA4</v>
      </c>
      <c r="G30" t="str">
        <v>B</v>
      </c>
      <c r="H30" t="str">
        <v>ZP</v>
      </c>
      <c r="I30" t="str">
        <v>ZCR</v>
      </c>
      <c r="J30" t="str">
        <v>F-A3001</v>
      </c>
      <c r="L30">
        <v>46266</v>
      </c>
      <c r="M30">
        <v>46266</v>
      </c>
      <c r="P30" t="str">
        <v>Misc</v>
      </c>
      <c r="Q30">
        <v>6</v>
      </c>
      <c r="W30">
        <f>1-X30</f>
        <v>1</v>
      </c>
      <c r="Y30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0" t="str">
        <v>W1</v>
      </c>
      <c r="AC30" t="str">
        <v>Job could not be attended as the team was reassigned to a Priority-1 blinding activity for V-A2008, which was not included in today's plan.</v>
      </c>
    </row>
    <row r="31">
      <c r="A31">
        <f>+A30+1</f>
        <v>21</v>
      </c>
      <c r="B31" t="str">
        <v>APSTT1</v>
      </c>
      <c r="C31" t="str">
        <v>401642331</v>
      </c>
      <c r="D31" t="str">
        <v>Descon</v>
      </c>
      <c r="E31" t="str">
        <v>replace bonnet drain Isolation Valve1/2"</v>
      </c>
      <c r="F31" t="str">
        <v>AR-AREA6</v>
      </c>
      <c r="G31" t="str">
        <v>D</v>
      </c>
      <c r="H31" t="str">
        <v>ZP</v>
      </c>
      <c r="I31" t="str">
        <v>ZCR</v>
      </c>
      <c r="J31" t="str">
        <v>A50-APK-108</v>
      </c>
      <c r="L31">
        <v>46266</v>
      </c>
      <c r="M31">
        <v>46266</v>
      </c>
      <c r="N31">
        <v>46266</v>
      </c>
      <c r="O31">
        <v>46266</v>
      </c>
      <c r="P31" t="str">
        <v>Misc</v>
      </c>
      <c r="Q31">
        <v>1</v>
      </c>
      <c r="R31">
        <v>2</v>
      </c>
      <c r="S31">
        <v>1</v>
      </c>
      <c r="T31">
        <v>46266</v>
      </c>
      <c r="U31">
        <v>46266</v>
      </c>
      <c r="V31">
        <v>46266</v>
      </c>
      <c r="W31">
        <f>1-X31</f>
        <v>0</v>
      </c>
      <c r="X31">
        <v>1</v>
      </c>
      <c r="Y31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1" t="str">
        <v>W1</v>
      </c>
      <c r="AC31" t="str">
        <v>Completed</v>
      </c>
    </row>
    <row r="32">
      <c r="A32">
        <f>+A31+1</f>
        <v>22</v>
      </c>
      <c r="B32" t="str">
        <v>APSTT1</v>
      </c>
      <c r="C32" t="str">
        <v>401645294</v>
      </c>
      <c r="D32" t="str">
        <v>Descon</v>
      </c>
      <c r="E32" t="str">
        <v>Replace steamtrap 3/4"ST-A30123@F-A3001</v>
      </c>
      <c r="F32" t="str">
        <v>AR-AREA4</v>
      </c>
      <c r="G32" t="str">
        <v>D</v>
      </c>
      <c r="H32" t="str">
        <v>ZP</v>
      </c>
      <c r="I32" t="str">
        <v>ZCR</v>
      </c>
      <c r="J32" t="str">
        <v>AR-AREA4 REC GENERAL U-3000</v>
      </c>
      <c r="L32">
        <v>46266</v>
      </c>
      <c r="M32">
        <v>46266</v>
      </c>
      <c r="P32" t="str">
        <v>Misc</v>
      </c>
      <c r="Q32">
        <v>1.4</v>
      </c>
      <c r="W32">
        <f>1-X32</f>
        <v>1</v>
      </c>
      <c r="Y32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2" t="str">
        <v>W1</v>
      </c>
      <c r="AC32" t="str">
        <v>Job could not be attended as the available man-hours were fully utilized.</v>
      </c>
    </row>
    <row r="33">
      <c r="A33">
        <f>+A32+1</f>
        <v>23</v>
      </c>
      <c r="B33" t="str">
        <v>APSTT1</v>
      </c>
      <c r="C33" t="str">
        <v>401641461</v>
      </c>
      <c r="D33" t="str">
        <v>OQ Other Contractor</v>
      </c>
      <c r="E33" t="str">
        <v>V-A2008A Adsorbent replacement</v>
      </c>
      <c r="F33" t="str">
        <v>AR-AREA3</v>
      </c>
      <c r="G33" t="str">
        <v>B</v>
      </c>
      <c r="H33" t="str">
        <v>ZP</v>
      </c>
      <c r="I33" t="str">
        <v>ZCR</v>
      </c>
      <c r="J33" t="str">
        <v>V-A2008A</v>
      </c>
      <c r="L33">
        <v>46266</v>
      </c>
      <c r="M33">
        <v>46266</v>
      </c>
      <c r="P33" t="str">
        <v>Misc</v>
      </c>
      <c r="Q33">
        <v>0.1</v>
      </c>
      <c r="W33">
        <f>1-X33</f>
        <v>1</v>
      </c>
      <c r="Y33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3" t="str">
        <v>W1</v>
      </c>
    </row>
    <row r="34">
      <c r="A34">
        <f>+A33+1</f>
        <v>24</v>
      </c>
      <c r="B34" t="str">
        <v>APSTT1</v>
      </c>
      <c r="C34" t="str">
        <v>401641461</v>
      </c>
      <c r="D34" t="str">
        <v>Descon</v>
      </c>
      <c r="E34" t="str">
        <v>Deblind/blind as operation  (2"Class300)</v>
      </c>
      <c r="F34" t="str">
        <v>AR-AREA3</v>
      </c>
      <c r="G34" t="str">
        <v>B</v>
      </c>
      <c r="H34" t="str">
        <v>ZP</v>
      </c>
      <c r="I34" t="str">
        <v>ZCR</v>
      </c>
      <c r="J34" t="str">
        <v>V-A2008A</v>
      </c>
      <c r="K34" t="str">
        <v>2"300(5) 6"300(1)</v>
      </c>
      <c r="L34">
        <v>46266</v>
      </c>
      <c r="M34">
        <v>46266</v>
      </c>
      <c r="N34">
        <v>46266</v>
      </c>
      <c r="O34">
        <v>46266</v>
      </c>
      <c r="P34" t="str">
        <v>Misc</v>
      </c>
      <c r="R34">
        <v>3</v>
      </c>
      <c r="S34">
        <v>8</v>
      </c>
      <c r="T34">
        <v>46266</v>
      </c>
      <c r="U34">
        <v>46266</v>
      </c>
      <c r="V34">
        <v>46266</v>
      </c>
      <c r="W34">
        <f>1-X34</f>
        <v>0</v>
      </c>
      <c r="X34">
        <v>1</v>
      </c>
      <c r="Y34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4" t="str">
        <v>W1</v>
      </c>
      <c r="AC34" t="str">
        <v>Completed</v>
      </c>
    </row>
    <row r="35">
      <c r="A35">
        <f>+A34+1</f>
        <v>25</v>
      </c>
      <c r="B35" t="str">
        <v>APSTT1</v>
      </c>
      <c r="C35" t="str">
        <v>401661210</v>
      </c>
      <c r="D35" t="str">
        <v>Descon</v>
      </c>
      <c r="E35" t="str">
        <v>A50APK101 sampler NRV leak , attend</v>
      </c>
      <c r="F35" t="str">
        <v>AR-AREA6</v>
      </c>
      <c r="G35" t="str">
        <v>D</v>
      </c>
      <c r="H35" t="str">
        <v>ZP</v>
      </c>
      <c r="I35" t="str">
        <v>ZCR</v>
      </c>
      <c r="J35" t="str">
        <v>A50-APK-101</v>
      </c>
      <c r="L35">
        <v>46267</v>
      </c>
      <c r="M35">
        <v>46267</v>
      </c>
      <c r="N35">
        <v>46267</v>
      </c>
      <c r="O35">
        <v>46267</v>
      </c>
      <c r="P35" t="str">
        <v>Misc</v>
      </c>
      <c r="Q35">
        <v>1</v>
      </c>
      <c r="R35">
        <v>2</v>
      </c>
      <c r="S35">
        <v>1</v>
      </c>
      <c r="T35">
        <v>46267</v>
      </c>
      <c r="U35">
        <v>46267</v>
      </c>
      <c r="V35">
        <v>46267</v>
      </c>
      <c r="W35">
        <f>1-X35</f>
        <v>0</v>
      </c>
      <c r="X35">
        <v>1</v>
      </c>
      <c r="Y35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5" t="str">
        <v>W1</v>
      </c>
      <c r="AC35" t="str">
        <v>Completed</v>
      </c>
    </row>
    <row r="36">
      <c r="A36">
        <f>+A35+1</f>
        <v>26</v>
      </c>
      <c r="B36" t="str">
        <v>APSTT1</v>
      </c>
      <c r="C36" t="str">
        <v>401651150</v>
      </c>
      <c r="D36" t="str">
        <v>Descon</v>
      </c>
      <c r="E36" t="str">
        <v>Assistant to fix the XV at site</v>
      </c>
      <c r="F36" t="str">
        <v>AR-AREA4</v>
      </c>
      <c r="G36" t="str">
        <v>B</v>
      </c>
      <c r="H36" t="str">
        <v>ZP</v>
      </c>
      <c r="I36" t="str">
        <v>ZCR</v>
      </c>
      <c r="J36" t="str">
        <v>A31-XV-117</v>
      </c>
      <c r="L36">
        <v>46267</v>
      </c>
      <c r="M36">
        <v>46267</v>
      </c>
      <c r="N36">
        <v>46267</v>
      </c>
      <c r="O36">
        <v>46267</v>
      </c>
      <c r="P36" t="str">
        <v>Misc</v>
      </c>
      <c r="Q36">
        <v>4</v>
      </c>
      <c r="R36">
        <v>0</v>
      </c>
      <c r="S36">
        <v>0</v>
      </c>
      <c r="T36">
        <v>46267</v>
      </c>
      <c r="U36">
        <v>46267</v>
      </c>
      <c r="V36">
        <v>46267</v>
      </c>
      <c r="W36">
        <f>1-X36</f>
        <v>0</v>
      </c>
      <c r="X36">
        <v>1</v>
      </c>
      <c r="Y36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6" t="str">
        <v>W1</v>
      </c>
      <c r="AC36" t="str">
        <v>Asstt was not Required</v>
      </c>
    </row>
    <row r="37">
      <c r="A37">
        <f>+A36+1</f>
        <v>27</v>
      </c>
      <c r="B37" t="str">
        <v>APSTT1</v>
      </c>
      <c r="C37" t="str">
        <v>401651150</v>
      </c>
      <c r="D37" t="str">
        <v>Descon</v>
      </c>
      <c r="E37" t="str">
        <v>Assistant to pullout the XV</v>
      </c>
      <c r="F37" t="str">
        <v>AR-AREA4</v>
      </c>
      <c r="G37" t="str">
        <v>B</v>
      </c>
      <c r="H37" t="str">
        <v>ZP</v>
      </c>
      <c r="I37" t="str">
        <v>ZCR</v>
      </c>
      <c r="J37" t="str">
        <v>A31-XV-117</v>
      </c>
      <c r="L37">
        <v>46267</v>
      </c>
      <c r="M37">
        <v>46267</v>
      </c>
      <c r="N37">
        <v>46267</v>
      </c>
      <c r="O37">
        <v>46267</v>
      </c>
      <c r="P37" t="str">
        <v>Misc</v>
      </c>
      <c r="Q37">
        <v>4</v>
      </c>
      <c r="R37">
        <v>0</v>
      </c>
      <c r="S37">
        <v>0</v>
      </c>
      <c r="T37">
        <v>46267</v>
      </c>
      <c r="U37">
        <v>46267</v>
      </c>
      <c r="V37">
        <v>46267</v>
      </c>
      <c r="W37">
        <f>1-X37</f>
        <v>0</v>
      </c>
      <c r="X37">
        <v>1</v>
      </c>
      <c r="Y37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7" t="str">
        <v>W1</v>
      </c>
      <c r="AC37" t="str">
        <v>Asstt was not Required</v>
      </c>
    </row>
    <row r="38">
      <c r="A38">
        <f>+A37+1</f>
        <v>28</v>
      </c>
      <c r="B38" t="str">
        <v>APSTT1</v>
      </c>
      <c r="C38" t="str">
        <v>401651388</v>
      </c>
      <c r="D38" t="str">
        <v>Descon</v>
      </c>
      <c r="E38" t="str">
        <v>Blinding of Nitrogen line (2"Class300)</v>
      </c>
      <c r="F38" t="str">
        <v>AR-AREA2</v>
      </c>
      <c r="G38" t="str">
        <v>B</v>
      </c>
      <c r="H38" t="str">
        <v>ZP</v>
      </c>
      <c r="I38" t="str">
        <v>ZCR</v>
      </c>
      <c r="J38" t="str">
        <v>K-A1201A</v>
      </c>
      <c r="L38">
        <v>46267</v>
      </c>
      <c r="M38">
        <v>46267</v>
      </c>
      <c r="N38">
        <v>46267</v>
      </c>
      <c r="O38">
        <v>46267</v>
      </c>
      <c r="P38" t="str">
        <v>Misc</v>
      </c>
      <c r="Q38">
        <v>2</v>
      </c>
      <c r="R38">
        <v>2</v>
      </c>
      <c r="S38">
        <v>2</v>
      </c>
      <c r="T38">
        <v>46267</v>
      </c>
      <c r="U38">
        <v>46267</v>
      </c>
      <c r="V38">
        <v>46267</v>
      </c>
      <c r="W38">
        <f>1-X38</f>
        <v>0</v>
      </c>
      <c r="X38">
        <v>1</v>
      </c>
      <c r="Y38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8" t="str">
        <v>W1</v>
      </c>
      <c r="AC38" t="str">
        <v>Completed</v>
      </c>
    </row>
    <row r="39">
      <c r="A39">
        <f>+A38+1</f>
        <v>29</v>
      </c>
      <c r="B39" t="str">
        <v>APSTT1</v>
      </c>
      <c r="C39" t="str">
        <v>401653900</v>
      </c>
      <c r="D39" t="str">
        <v>Descon</v>
      </c>
      <c r="E39" t="str">
        <v>Deblinding of  12"Class300</v>
      </c>
      <c r="F39" t="str">
        <v>AR-AREA4</v>
      </c>
      <c r="G39" t="str">
        <v>B</v>
      </c>
      <c r="H39" t="str">
        <v>ZP</v>
      </c>
      <c r="I39" t="str">
        <v>ZCR</v>
      </c>
      <c r="J39" t="str">
        <v>P-A3111A</v>
      </c>
      <c r="L39">
        <v>46267</v>
      </c>
      <c r="M39">
        <v>46267</v>
      </c>
      <c r="P39" t="str">
        <v>Misc</v>
      </c>
      <c r="Q39">
        <v>6</v>
      </c>
      <c r="W39">
        <f>1-X39</f>
        <v>1</v>
      </c>
      <c r="Y39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39" t="str">
        <v>W1</v>
      </c>
      <c r="AB39" t="str">
        <v>Other</v>
      </c>
      <c r="AC39" t="str">
        <v>Job Could not Be Attended as the Rotating Activities are still on going</v>
      </c>
    </row>
    <row r="40">
      <c r="A40">
        <f>+A39+1</f>
        <v>30</v>
      </c>
      <c r="B40" t="str">
        <v>APSTT1</v>
      </c>
      <c r="C40" t="str">
        <v>401653900</v>
      </c>
      <c r="D40" t="str">
        <v>Descon</v>
      </c>
      <c r="E40" t="str">
        <v>Deblinding of  18"Class300</v>
      </c>
      <c r="F40" t="str">
        <v>AR-AREA4</v>
      </c>
      <c r="G40" t="str">
        <v>B</v>
      </c>
      <c r="H40" t="str">
        <v>ZP</v>
      </c>
      <c r="I40" t="str">
        <v>ZCR</v>
      </c>
      <c r="J40" t="str">
        <v>P-A3111A</v>
      </c>
      <c r="L40">
        <v>46267</v>
      </c>
      <c r="M40">
        <v>46267</v>
      </c>
      <c r="P40" t="str">
        <v>Misc</v>
      </c>
      <c r="Q40">
        <v>7.5</v>
      </c>
      <c r="W40">
        <f>1-X40</f>
        <v>1</v>
      </c>
      <c r="Y40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0" t="str">
        <v>W1</v>
      </c>
      <c r="AB40" t="str">
        <v>Other</v>
      </c>
      <c r="AC40" t="str">
        <v>Job Could not Be Attended as the Rotating Activities are still ongoing</v>
      </c>
    </row>
    <row r="41">
      <c r="A41">
        <f>+A40+1</f>
        <v>31</v>
      </c>
      <c r="B41" t="str">
        <v>APSTT1</v>
      </c>
      <c r="C41" t="str">
        <v>401558328</v>
      </c>
      <c r="D41" t="str">
        <v>Descon</v>
      </c>
      <c r="E41" t="str">
        <v>Fix back RV (Size0.5"150# RF)</v>
      </c>
      <c r="F41" t="str">
        <v>AR-AREA4</v>
      </c>
      <c r="G41" t="str">
        <v>B</v>
      </c>
      <c r="H41" t="str">
        <v>ZM</v>
      </c>
      <c r="I41" t="str">
        <v>ZPM</v>
      </c>
      <c r="J41" t="str">
        <v>A31-PSV-716CX</v>
      </c>
      <c r="L41">
        <v>46267</v>
      </c>
      <c r="M41">
        <v>46267</v>
      </c>
      <c r="N41">
        <v>46267</v>
      </c>
      <c r="O41">
        <v>46267</v>
      </c>
      <c r="P41" t="str">
        <v>Misc</v>
      </c>
      <c r="Q41">
        <v>2</v>
      </c>
      <c r="R41">
        <v>2</v>
      </c>
      <c r="S41">
        <v>1</v>
      </c>
      <c r="T41">
        <v>46267</v>
      </c>
      <c r="U41">
        <v>46267</v>
      </c>
      <c r="V41">
        <v>46267</v>
      </c>
      <c r="W41">
        <f>1-X41</f>
        <v>0</v>
      </c>
      <c r="X41">
        <v>1</v>
      </c>
      <c r="Y41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1" t="str">
        <v>W1</v>
      </c>
      <c r="AC41" t="str">
        <v>Completed</v>
      </c>
    </row>
    <row r="42">
      <c r="A42">
        <f>+A41+1</f>
        <v>32</v>
      </c>
      <c r="B42" t="str">
        <v>APSTT1</v>
      </c>
      <c r="C42" t="str">
        <v>401622080</v>
      </c>
      <c r="D42" t="str">
        <v>Descon</v>
      </c>
      <c r="E42" t="str">
        <v>Fix back RV (Size2"150# RF)</v>
      </c>
      <c r="F42" t="str">
        <v>AR-AREA5</v>
      </c>
      <c r="G42" t="str">
        <v>A</v>
      </c>
      <c r="H42" t="str">
        <v>ZP</v>
      </c>
      <c r="I42" t="str">
        <v>ZCR</v>
      </c>
      <c r="J42" t="str">
        <v>A32-PSV-567</v>
      </c>
      <c r="K42" t="str">
        <v>2"150</v>
      </c>
      <c r="L42">
        <v>46267</v>
      </c>
      <c r="M42">
        <v>46267</v>
      </c>
      <c r="N42">
        <v>46267</v>
      </c>
      <c r="O42">
        <v>46267</v>
      </c>
      <c r="P42" t="str">
        <v>Misc</v>
      </c>
      <c r="Q42">
        <v>2</v>
      </c>
      <c r="R42">
        <v>2</v>
      </c>
      <c r="S42">
        <v>2</v>
      </c>
      <c r="T42">
        <v>46267</v>
      </c>
      <c r="U42">
        <v>46267</v>
      </c>
      <c r="V42">
        <v>46267</v>
      </c>
      <c r="W42">
        <f>1-X42</f>
        <v>0</v>
      </c>
      <c r="X42">
        <v>1</v>
      </c>
      <c r="Y42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2" t="str">
        <v>W1</v>
      </c>
      <c r="AC42" t="str">
        <v>Completed</v>
      </c>
    </row>
    <row r="43">
      <c r="A43">
        <f>+A42+1</f>
        <v>33</v>
      </c>
      <c r="B43" t="str">
        <v>APSTT1</v>
      </c>
      <c r="C43" t="str">
        <v>401645221</v>
      </c>
      <c r="D43" t="str">
        <v>Descon</v>
      </c>
      <c r="E43" t="str">
        <v>Heater Blinding br#35</v>
      </c>
      <c r="F43" t="str">
        <v>AR-AREA4</v>
      </c>
      <c r="G43" t="str">
        <v>B</v>
      </c>
      <c r="H43" t="str">
        <v>ZP</v>
      </c>
      <c r="I43" t="str">
        <v>ZCR</v>
      </c>
      <c r="J43" t="str">
        <v>F-A3001</v>
      </c>
      <c r="K43" t="str">
        <v>2"150(1)0.5"(2)</v>
      </c>
      <c r="L43">
        <v>46267</v>
      </c>
      <c r="M43">
        <v>46267</v>
      </c>
      <c r="N43">
        <v>46267</v>
      </c>
      <c r="O43">
        <v>46267</v>
      </c>
      <c r="P43" t="str">
        <v>Misc</v>
      </c>
      <c r="Q43">
        <v>1</v>
      </c>
      <c r="R43">
        <v>2</v>
      </c>
      <c r="S43">
        <v>1</v>
      </c>
      <c r="T43">
        <v>46267</v>
      </c>
      <c r="U43">
        <v>46267</v>
      </c>
      <c r="V43">
        <v>46267</v>
      </c>
      <c r="W43">
        <f>1-X43</f>
        <v>0</v>
      </c>
      <c r="X43">
        <v>1</v>
      </c>
      <c r="Y43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3" t="str">
        <v>W1</v>
      </c>
      <c r="AC43" t="str">
        <v>Completed</v>
      </c>
    </row>
    <row r="44">
      <c r="A44">
        <f>+A43+1</f>
        <v>34</v>
      </c>
      <c r="B44" t="str">
        <v>APSTT1</v>
      </c>
      <c r="C44" t="str">
        <v>401645221</v>
      </c>
      <c r="D44" t="str">
        <v>Descon</v>
      </c>
      <c r="E44" t="str">
        <v>Heater Deblinding br#35</v>
      </c>
      <c r="F44" t="str">
        <v>AR-AREA4</v>
      </c>
      <c r="G44" t="str">
        <v>B</v>
      </c>
      <c r="H44" t="str">
        <v>ZP</v>
      </c>
      <c r="I44" t="str">
        <v>ZCR</v>
      </c>
      <c r="J44" t="str">
        <v>F-A3001</v>
      </c>
      <c r="K44" t="str">
        <v>2"150(1)0.5"(2)</v>
      </c>
      <c r="L44">
        <v>46267</v>
      </c>
      <c r="M44">
        <v>46267</v>
      </c>
      <c r="N44">
        <v>46267</v>
      </c>
      <c r="O44">
        <v>46267</v>
      </c>
      <c r="P44" t="str">
        <v>Misc</v>
      </c>
      <c r="Q44">
        <v>1</v>
      </c>
      <c r="R44">
        <v>2</v>
      </c>
      <c r="S44">
        <v>1</v>
      </c>
      <c r="T44">
        <v>46267</v>
      </c>
      <c r="U44">
        <v>46267</v>
      </c>
      <c r="V44">
        <v>46267</v>
      </c>
      <c r="W44">
        <f>1-X44</f>
        <v>0</v>
      </c>
      <c r="X44">
        <v>1</v>
      </c>
      <c r="Y44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4" t="str">
        <v>W1</v>
      </c>
      <c r="AC44" t="str">
        <v>Completed</v>
      </c>
    </row>
    <row r="45">
      <c r="A45">
        <f>+A44+1</f>
        <v>35</v>
      </c>
      <c r="B45" t="str">
        <v>APSTT1</v>
      </c>
      <c r="C45" t="str">
        <v>401653902</v>
      </c>
      <c r="D45" t="str">
        <v>Descon</v>
      </c>
      <c r="E45" t="str">
        <v>RA4101A/B MSLine valv3/4"GlandLeak/Tight</v>
      </c>
      <c r="F45" t="str">
        <v>AR-AREA6</v>
      </c>
      <c r="G45" t="str">
        <v>B</v>
      </c>
      <c r="H45" t="str">
        <v>ZP</v>
      </c>
      <c r="I45" t="str">
        <v>ZCR</v>
      </c>
      <c r="J45" t="str">
        <v>R-A4101A</v>
      </c>
      <c r="K45" t="str">
        <v>3/4"</v>
      </c>
      <c r="L45">
        <v>46267</v>
      </c>
      <c r="M45">
        <v>46267</v>
      </c>
      <c r="N45">
        <v>46267</v>
      </c>
      <c r="O45">
        <v>46267</v>
      </c>
      <c r="P45" t="str">
        <v>Misc</v>
      </c>
      <c r="Q45">
        <v>1</v>
      </c>
      <c r="R45">
        <v>2</v>
      </c>
      <c r="S45">
        <v>1</v>
      </c>
      <c r="T45">
        <v>46267</v>
      </c>
      <c r="U45">
        <v>46267</v>
      </c>
      <c r="V45">
        <v>46267</v>
      </c>
      <c r="W45">
        <f>1-X45</f>
        <v>0</v>
      </c>
      <c r="X45">
        <v>1</v>
      </c>
      <c r="Y45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5" t="str">
        <v>W1</v>
      </c>
      <c r="AC45" t="str">
        <v>Completed</v>
      </c>
    </row>
    <row r="46">
      <c r="A46">
        <f>+A45+1</f>
        <v>36</v>
      </c>
      <c r="B46" t="str">
        <v>APSTT1</v>
      </c>
      <c r="C46" t="str">
        <v>401645221</v>
      </c>
      <c r="D46" t="str">
        <v>Descon</v>
      </c>
      <c r="E46" t="str">
        <v>Removal,cleaning&amp;install of burner#35</v>
      </c>
      <c r="F46" t="str">
        <v>AR-AREA4</v>
      </c>
      <c r="G46" t="str">
        <v>B</v>
      </c>
      <c r="H46" t="str">
        <v>ZP</v>
      </c>
      <c r="I46" t="str">
        <v>ZCR</v>
      </c>
      <c r="J46" t="str">
        <v>F-A3001</v>
      </c>
      <c r="L46">
        <v>46267</v>
      </c>
      <c r="M46">
        <v>46267</v>
      </c>
      <c r="N46">
        <v>46267</v>
      </c>
      <c r="O46">
        <v>46267</v>
      </c>
      <c r="P46">
        <v>1920</v>
      </c>
      <c r="Q46">
        <v>8</v>
      </c>
      <c r="R46">
        <v>3</v>
      </c>
      <c r="S46">
        <v>8</v>
      </c>
      <c r="T46">
        <v>46267</v>
      </c>
      <c r="U46">
        <v>46267</v>
      </c>
      <c r="V46">
        <v>46267</v>
      </c>
      <c r="W46">
        <f>1-X46</f>
        <v>0</v>
      </c>
      <c r="X46">
        <v>1</v>
      </c>
      <c r="Y46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6" t="str">
        <v>W1</v>
      </c>
      <c r="AC46" t="str">
        <v>Completed</v>
      </c>
    </row>
    <row r="47">
      <c r="A47">
        <f>+A46+1</f>
        <v>37</v>
      </c>
      <c r="B47" t="str">
        <v>APSTT1</v>
      </c>
      <c r="C47" t="str">
        <v>401654758</v>
      </c>
      <c r="D47" t="str">
        <v>Descon</v>
      </c>
      <c r="E47" t="str">
        <v>steam leak MC line Replce gasket1/2"x300</v>
      </c>
      <c r="F47" t="str">
        <v>AR-AREA3</v>
      </c>
      <c r="G47" t="str">
        <v>B</v>
      </c>
      <c r="H47" t="str">
        <v>ZP</v>
      </c>
      <c r="I47" t="str">
        <v>ZCR</v>
      </c>
      <c r="J47" t="str">
        <v>X-A2101-E02</v>
      </c>
      <c r="K47" t="str">
        <v>0.5"300</v>
      </c>
      <c r="L47">
        <v>46267</v>
      </c>
      <c r="M47">
        <v>46267</v>
      </c>
      <c r="N47">
        <v>46267</v>
      </c>
      <c r="O47">
        <v>46267</v>
      </c>
      <c r="P47" t="str">
        <v>Misc</v>
      </c>
      <c r="Q47">
        <v>2</v>
      </c>
      <c r="R47">
        <v>2</v>
      </c>
      <c r="S47">
        <v>1</v>
      </c>
      <c r="T47">
        <v>46267</v>
      </c>
      <c r="U47">
        <v>46267</v>
      </c>
      <c r="V47">
        <v>46267</v>
      </c>
      <c r="W47">
        <f>1-X47</f>
        <v>0</v>
      </c>
      <c r="X47">
        <v>1</v>
      </c>
      <c r="Y47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7" t="str">
        <v>W1</v>
      </c>
      <c r="AC47" t="str">
        <v>Completed</v>
      </c>
    </row>
    <row r="48">
      <c r="A48">
        <f>+A47+1</f>
        <v>38</v>
      </c>
      <c r="B48" t="str">
        <v>APSTT1</v>
      </c>
      <c r="C48" t="str">
        <v>401645187</v>
      </c>
      <c r="D48" t="str">
        <v>Descon</v>
      </c>
      <c r="E48" t="str">
        <v>suct strainer cleaning 12"Class150</v>
      </c>
      <c r="F48" t="str">
        <v>AR-AREA1</v>
      </c>
      <c r="G48" t="str">
        <v>B</v>
      </c>
      <c r="H48" t="str">
        <v>ZP</v>
      </c>
      <c r="I48" t="str">
        <v>ZCR</v>
      </c>
      <c r="J48" t="str">
        <v>P-A9901D</v>
      </c>
      <c r="K48" t="str">
        <v>12"150(1)3/4"150(2)</v>
      </c>
      <c r="L48">
        <v>46267</v>
      </c>
      <c r="M48">
        <v>46267</v>
      </c>
      <c r="N48">
        <v>46267</v>
      </c>
      <c r="O48">
        <v>46267</v>
      </c>
      <c r="P48" t="str">
        <v>Misc</v>
      </c>
      <c r="Q48">
        <v>10.8</v>
      </c>
      <c r="R48">
        <v>3</v>
      </c>
      <c r="S48">
        <v>9</v>
      </c>
      <c r="T48">
        <v>46267</v>
      </c>
      <c r="U48">
        <v>46267</v>
      </c>
      <c r="V48">
        <v>46267</v>
      </c>
      <c r="W48">
        <f>1-X48</f>
        <v>0</v>
      </c>
      <c r="X48">
        <v>1</v>
      </c>
      <c r="Y48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8" t="str">
        <v>W1</v>
      </c>
      <c r="AC48" t="str">
        <v>Completed</v>
      </c>
    </row>
    <row r="49">
      <c r="A49">
        <f>+A48+1</f>
        <v>39</v>
      </c>
      <c r="B49" t="str">
        <v>APSTT1</v>
      </c>
      <c r="C49" t="str">
        <v>401641461</v>
      </c>
      <c r="D49" t="str">
        <v>OQ Other Contractor</v>
      </c>
      <c r="E49" t="str">
        <v>V-A2008A Adsorbent replacement</v>
      </c>
      <c r="F49" t="str">
        <v>AR-AREA3</v>
      </c>
      <c r="G49" t="str">
        <v>B</v>
      </c>
      <c r="H49" t="str">
        <v>ZP</v>
      </c>
      <c r="I49" t="str">
        <v>ZCR</v>
      </c>
      <c r="J49" t="str">
        <v>V-A2008A</v>
      </c>
      <c r="L49">
        <v>46267</v>
      </c>
      <c r="M49">
        <v>46267</v>
      </c>
      <c r="P49" t="str">
        <v>Misc</v>
      </c>
      <c r="Q49">
        <v>0.1</v>
      </c>
      <c r="W49">
        <f>1-X49</f>
        <v>1</v>
      </c>
      <c r="Y49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49" t="str">
        <v>W1</v>
      </c>
      <c r="AC49" t="str">
        <v>Under CR Scope</v>
      </c>
    </row>
    <row r="50">
      <c r="A50">
        <f>+A49+1</f>
        <v>40</v>
      </c>
      <c r="B50" t="str">
        <v>APSTT1</v>
      </c>
      <c r="C50">
        <v>401664270</v>
      </c>
      <c r="D50" t="str">
        <v>Descon</v>
      </c>
      <c r="E50" t="str">
        <v xml:space="preserve">K-A2002A 2ndstage De blinding </v>
      </c>
      <c r="F50" t="str">
        <v>AR-AREA3</v>
      </c>
      <c r="G50" t="str">
        <v>B</v>
      </c>
      <c r="H50" t="str">
        <v>ZP</v>
      </c>
      <c r="I50" t="str">
        <v>ZCR</v>
      </c>
      <c r="J50" t="str">
        <v>K-A2002A</v>
      </c>
      <c r="K50" t="str">
        <v>16"150(1)12"150(1)8"300(1)2"300(1)1"150(2)</v>
      </c>
      <c r="L50">
        <v>46267</v>
      </c>
      <c r="M50">
        <v>46267</v>
      </c>
      <c r="N50">
        <v>46267</v>
      </c>
      <c r="O50">
        <v>46267</v>
      </c>
      <c r="P50" t="str">
        <v>Misc</v>
      </c>
      <c r="R50">
        <v>3</v>
      </c>
      <c r="S50">
        <v>12</v>
      </c>
      <c r="T50">
        <v>46267</v>
      </c>
      <c r="U50">
        <v>46267</v>
      </c>
      <c r="V50">
        <v>46267</v>
      </c>
      <c r="W50">
        <f>1-X50</f>
        <v>0</v>
      </c>
      <c r="X50">
        <v>1</v>
      </c>
      <c r="Y50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50" t="str">
        <v>W1</v>
      </c>
      <c r="AC50" t="str">
        <v>Completed</v>
      </c>
    </row>
    <row r="51">
      <c r="A51">
        <f>+A50+1</f>
        <v>41</v>
      </c>
      <c r="B51" t="str">
        <v>APSTT1</v>
      </c>
      <c r="C51">
        <v>401664270</v>
      </c>
      <c r="D51" t="str">
        <v>Descon</v>
      </c>
      <c r="E51" t="str">
        <v xml:space="preserve">K-A2002A 3rd stage De blinding </v>
      </c>
      <c r="F51" t="str">
        <v>AR-AREA3</v>
      </c>
      <c r="G51" t="str">
        <v>B</v>
      </c>
      <c r="H51" t="str">
        <v>ZP</v>
      </c>
      <c r="I51" t="str">
        <v>ZCR</v>
      </c>
      <c r="J51" t="str">
        <v>K-A2002A</v>
      </c>
      <c r="K51" t="str">
        <v>12"300(1)10"300(1)8"300(1)2"300(1)2"150(1)1"150(2)</v>
      </c>
      <c r="L51">
        <v>46267</v>
      </c>
      <c r="M51">
        <v>46267</v>
      </c>
      <c r="N51">
        <v>46267</v>
      </c>
      <c r="O51">
        <v>46267</v>
      </c>
      <c r="P51" t="str">
        <v>Misc</v>
      </c>
      <c r="R51">
        <v>3</v>
      </c>
      <c r="S51">
        <v>9</v>
      </c>
      <c r="T51">
        <v>46267</v>
      </c>
      <c r="U51">
        <v>46267</v>
      </c>
      <c r="V51">
        <v>46267</v>
      </c>
      <c r="W51">
        <f>1-X51</f>
        <v>0</v>
      </c>
      <c r="X51">
        <v>1</v>
      </c>
      <c r="Y51" t="e">
        <f>IF([1]!Table13[[#This Row],[Work Completed]]&gt;0,"Completed",IF([1]!Table13[[#This Row],[Work Statred]]&gt;0,"Inprogress",IF([1]!Table13[[#This Row],[Permit Issued]]&gt;0,"Permit Issued",IF([1]!Table13[[#This Row],[Completed Work]]=0%,"Not Statrted"))))</f>
        <v>#REF!</v>
      </c>
      <c r="Z51" t="str">
        <v>W1</v>
      </c>
      <c r="AC51" t="str">
        <v>Completed</v>
      </c>
    </row>
    <row r="52">
      <c r="A52">
        <v>42</v>
      </c>
      <c r="B52" t="str">
        <v>APSTT1</v>
      </c>
      <c r="C52" t="str">
        <v>401434228</v>
      </c>
      <c r="D52" t="str">
        <v>Descon</v>
      </c>
      <c r="E52" t="str">
        <v>clean suct strainer 18"Class300</v>
      </c>
      <c r="F52" t="str">
        <v>AR-AREA3</v>
      </c>
      <c r="G52" t="str">
        <v>B</v>
      </c>
      <c r="H52" t="str">
        <v>ZP</v>
      </c>
      <c r="I52" t="str">
        <v>ZCR</v>
      </c>
      <c r="J52" t="str">
        <v>K-A2102A</v>
      </c>
      <c r="L52">
        <v>46268</v>
      </c>
      <c r="M52">
        <v>46268</v>
      </c>
      <c r="Q52">
        <v>14.4</v>
      </c>
      <c r="W52">
        <v>1</v>
      </c>
      <c r="Y52" t="str">
        <v>Not Statrted</v>
      </c>
      <c r="Z52" t="str">
        <v>W1</v>
      </c>
      <c r="AA52" t="str">
        <v>Overloaded</v>
      </c>
      <c r="AB52" t="str">
        <v>Job could not be attended as the available man-hours were fully utilized.</v>
      </c>
    </row>
    <row r="53">
      <c r="A53">
        <v>43</v>
      </c>
      <c r="B53" t="str">
        <v>APSTT1</v>
      </c>
      <c r="C53" t="str">
        <v>401641461</v>
      </c>
      <c r="D53" t="str">
        <v>Descon</v>
      </c>
      <c r="E53" t="str">
        <v>Deblind/blind as operation  (2"Class300)</v>
      </c>
      <c r="F53" t="str">
        <v>AR-AREA3</v>
      </c>
      <c r="G53" t="str">
        <v>B</v>
      </c>
      <c r="H53" t="str">
        <v>ZP</v>
      </c>
      <c r="I53" t="str">
        <v>ZCR</v>
      </c>
      <c r="J53" t="str">
        <v>V-A2008A</v>
      </c>
      <c r="L53">
        <v>46268</v>
      </c>
      <c r="M53">
        <v>46268</v>
      </c>
      <c r="N53">
        <v>46268</v>
      </c>
      <c r="O53">
        <v>46268</v>
      </c>
      <c r="Q53">
        <v>2</v>
      </c>
      <c r="W53">
        <v>1</v>
      </c>
      <c r="Y53" t="str">
        <v>Not Statrted</v>
      </c>
      <c r="Z53" t="str">
        <v>W1</v>
      </c>
      <c r="AB53" t="str">
        <v>Blinding &amp; Deblinding not required as Per Operation</v>
      </c>
    </row>
    <row r="54">
      <c r="A54">
        <v>44</v>
      </c>
      <c r="B54" t="str">
        <v>APSTT1</v>
      </c>
      <c r="C54" t="str">
        <v>401653900</v>
      </c>
      <c r="D54" t="str">
        <v>Descon</v>
      </c>
      <c r="E54" t="str">
        <v>Deblinding of  12"Class300</v>
      </c>
      <c r="F54" t="str">
        <v>AR-AREA4</v>
      </c>
      <c r="G54" t="str">
        <v>B</v>
      </c>
      <c r="H54" t="str">
        <v>ZP</v>
      </c>
      <c r="I54" t="str">
        <v>ZCR</v>
      </c>
      <c r="J54" t="str">
        <v>P-A3111A</v>
      </c>
      <c r="L54">
        <v>46268</v>
      </c>
      <c r="M54">
        <v>46268</v>
      </c>
      <c r="N54">
        <v>46268</v>
      </c>
      <c r="O54">
        <v>46268</v>
      </c>
      <c r="P54" t="str">
        <v>Misc</v>
      </c>
      <c r="Q54">
        <v>6</v>
      </c>
      <c r="R54">
        <v>3</v>
      </c>
      <c r="S54">
        <v>6</v>
      </c>
      <c r="T54">
        <v>46268</v>
      </c>
      <c r="U54">
        <v>46268</v>
      </c>
      <c r="V54">
        <v>46268</v>
      </c>
      <c r="W54">
        <v>0</v>
      </c>
      <c r="X54">
        <v>1</v>
      </c>
      <c r="Y54" t="str">
        <v>Completed</v>
      </c>
      <c r="Z54" t="str">
        <v>W1</v>
      </c>
      <c r="AB54" t="str">
        <v>Complated</v>
      </c>
    </row>
    <row r="55">
      <c r="A55">
        <v>45</v>
      </c>
      <c r="B55" t="str">
        <v>APSTT1</v>
      </c>
      <c r="C55" t="str">
        <v>401653900</v>
      </c>
      <c r="D55" t="str">
        <v>Descon</v>
      </c>
      <c r="E55" t="str">
        <v>Deblinding of  18"Class300</v>
      </c>
      <c r="F55" t="str">
        <v>AR-AREA4</v>
      </c>
      <c r="G55" t="str">
        <v>B</v>
      </c>
      <c r="H55" t="str">
        <v>ZP</v>
      </c>
      <c r="I55" t="str">
        <v>ZCR</v>
      </c>
      <c r="J55" t="str">
        <v>P-A3111A</v>
      </c>
      <c r="L55">
        <v>46268</v>
      </c>
      <c r="M55">
        <v>46268</v>
      </c>
      <c r="N55">
        <v>46268</v>
      </c>
      <c r="O55">
        <v>46268</v>
      </c>
      <c r="P55" t="str">
        <v>Misc</v>
      </c>
      <c r="Q55">
        <v>7.5</v>
      </c>
      <c r="R55">
        <v>3</v>
      </c>
      <c r="S55">
        <v>9</v>
      </c>
      <c r="T55">
        <v>46268</v>
      </c>
      <c r="U55">
        <v>46268</v>
      </c>
      <c r="V55">
        <v>46268</v>
      </c>
      <c r="W55">
        <v>0</v>
      </c>
      <c r="X55">
        <v>1</v>
      </c>
      <c r="Y55" t="str">
        <v>Completed</v>
      </c>
      <c r="Z55" t="str">
        <v>W1</v>
      </c>
      <c r="AB55" t="str">
        <v>Complated</v>
      </c>
    </row>
    <row r="56">
      <c r="A56">
        <v>46</v>
      </c>
      <c r="B56" t="str">
        <v>APSTT1</v>
      </c>
      <c r="C56" t="str">
        <v>401425569</v>
      </c>
      <c r="D56" t="str">
        <v>Descon</v>
      </c>
      <c r="E56" t="str">
        <v>dismantle foam chamber glass #1</v>
      </c>
      <c r="F56" t="str">
        <v>AR-AREA1</v>
      </c>
      <c r="G56" t="str">
        <v>D</v>
      </c>
      <c r="H56" t="str">
        <v>ZP</v>
      </c>
      <c r="I56" t="str">
        <v>ZCR</v>
      </c>
      <c r="J56" t="str">
        <v>T-A9102</v>
      </c>
      <c r="L56">
        <v>46268</v>
      </c>
      <c r="M56">
        <v>46268</v>
      </c>
      <c r="N56">
        <v>46268</v>
      </c>
      <c r="O56">
        <v>46268</v>
      </c>
      <c r="P56" t="str">
        <v>Misc</v>
      </c>
      <c r="Q56">
        <v>1.4</v>
      </c>
      <c r="R56">
        <v>2</v>
      </c>
      <c r="S56">
        <v>1</v>
      </c>
      <c r="T56">
        <v>46268</v>
      </c>
      <c r="U56">
        <v>46268</v>
      </c>
      <c r="V56">
        <v>46268</v>
      </c>
      <c r="W56">
        <v>0</v>
      </c>
      <c r="X56">
        <v>1</v>
      </c>
      <c r="Y56" t="str">
        <v>Completed</v>
      </c>
      <c r="Z56" t="str">
        <v>W1</v>
      </c>
      <c r="AB56" t="str">
        <v>Complated</v>
      </c>
    </row>
    <row r="57">
      <c r="A57">
        <v>47</v>
      </c>
      <c r="B57" t="str">
        <v>APSTT1</v>
      </c>
      <c r="C57" t="str">
        <v>401425569</v>
      </c>
      <c r="D57" t="str">
        <v>Descon</v>
      </c>
      <c r="E57" t="str">
        <v>dismantle foam chamber glass #2</v>
      </c>
      <c r="F57" t="str">
        <v>AR-AREA1</v>
      </c>
      <c r="G57" t="str">
        <v>D</v>
      </c>
      <c r="H57" t="str">
        <v>ZP</v>
      </c>
      <c r="I57" t="str">
        <v>ZCR</v>
      </c>
      <c r="J57" t="str">
        <v>T-A9102</v>
      </c>
      <c r="L57">
        <v>46268</v>
      </c>
      <c r="M57">
        <v>46268</v>
      </c>
      <c r="N57">
        <v>46268</v>
      </c>
      <c r="O57">
        <v>46268</v>
      </c>
      <c r="P57" t="str">
        <v>Misc</v>
      </c>
      <c r="Q57">
        <v>1.4</v>
      </c>
      <c r="R57">
        <v>2</v>
      </c>
      <c r="S57">
        <v>1</v>
      </c>
      <c r="T57">
        <v>46268</v>
      </c>
      <c r="U57">
        <v>46268</v>
      </c>
      <c r="V57">
        <v>46268</v>
      </c>
      <c r="W57">
        <v>0</v>
      </c>
      <c r="X57">
        <v>1</v>
      </c>
      <c r="Y57" t="str">
        <v>Completed</v>
      </c>
      <c r="Z57" t="str">
        <v>W1</v>
      </c>
      <c r="AB57" t="str">
        <v>Complated</v>
      </c>
    </row>
    <row r="58">
      <c r="A58">
        <v>48</v>
      </c>
      <c r="B58" t="str">
        <v>APSTT1</v>
      </c>
      <c r="C58" t="str">
        <v>401425569</v>
      </c>
      <c r="D58" t="str">
        <v>Descon</v>
      </c>
      <c r="E58" t="str">
        <v>dismantle foam chamber glass #3</v>
      </c>
      <c r="F58" t="str">
        <v>AR-AREA1</v>
      </c>
      <c r="G58" t="str">
        <v>D</v>
      </c>
      <c r="H58" t="str">
        <v>ZP</v>
      </c>
      <c r="I58" t="str">
        <v>ZCR</v>
      </c>
      <c r="J58" t="str">
        <v>T-A9102</v>
      </c>
      <c r="L58">
        <v>46268</v>
      </c>
      <c r="M58">
        <v>46268</v>
      </c>
      <c r="N58">
        <v>46268</v>
      </c>
      <c r="O58">
        <v>46268</v>
      </c>
      <c r="P58" t="str">
        <v>Misc</v>
      </c>
      <c r="Q58">
        <v>1.4</v>
      </c>
      <c r="R58">
        <v>2</v>
      </c>
      <c r="S58">
        <v>1</v>
      </c>
      <c r="T58">
        <v>46268</v>
      </c>
      <c r="U58">
        <v>46268</v>
      </c>
      <c r="V58">
        <v>46268</v>
      </c>
      <c r="W58">
        <v>0</v>
      </c>
      <c r="X58">
        <v>1</v>
      </c>
      <c r="Y58" t="str">
        <v>Completed</v>
      </c>
      <c r="Z58" t="str">
        <v>W1</v>
      </c>
      <c r="AB58" t="str">
        <v>Complated</v>
      </c>
    </row>
    <row r="59">
      <c r="A59">
        <v>49</v>
      </c>
      <c r="B59" t="str">
        <v>APSTT1</v>
      </c>
      <c r="C59" t="str">
        <v>401650296</v>
      </c>
      <c r="D59" t="str">
        <v>Descon</v>
      </c>
      <c r="E59" t="str">
        <v>F-A3001 bnr #50 FG leak(union), attend</v>
      </c>
      <c r="F59" t="str">
        <v>AR-AREA4</v>
      </c>
      <c r="G59" t="str">
        <v>B</v>
      </c>
      <c r="H59" t="str">
        <v>ZP</v>
      </c>
      <c r="I59" t="str">
        <v>ZCR</v>
      </c>
      <c r="J59" t="str">
        <v>F-A3001</v>
      </c>
      <c r="L59">
        <v>46268</v>
      </c>
      <c r="M59">
        <v>46268</v>
      </c>
      <c r="N59">
        <v>46268</v>
      </c>
      <c r="O59">
        <v>46268</v>
      </c>
      <c r="P59" t="str">
        <v>Misc</v>
      </c>
      <c r="Q59">
        <v>2</v>
      </c>
      <c r="R59">
        <v>2</v>
      </c>
      <c r="S59">
        <v>2</v>
      </c>
      <c r="T59">
        <v>46268</v>
      </c>
      <c r="U59">
        <v>46268</v>
      </c>
      <c r="V59">
        <v>46268</v>
      </c>
      <c r="W59">
        <v>0</v>
      </c>
      <c r="X59">
        <v>1</v>
      </c>
      <c r="Y59" t="str">
        <v>Completed</v>
      </c>
      <c r="Z59" t="str">
        <v>W1</v>
      </c>
      <c r="AB59" t="str">
        <v>Complated</v>
      </c>
    </row>
    <row r="60">
      <c r="A60">
        <v>50</v>
      </c>
      <c r="B60" t="str">
        <v>APSTT1</v>
      </c>
      <c r="C60" t="str">
        <v>401651389</v>
      </c>
      <c r="D60" t="str">
        <v>Descon</v>
      </c>
      <c r="E60" t="str">
        <v>Fix back RV (Size0.5"MNPT)</v>
      </c>
      <c r="F60" t="str">
        <v>AR-AREA2</v>
      </c>
      <c r="G60" t="str">
        <v>A</v>
      </c>
      <c r="H60" t="str">
        <v>ZP</v>
      </c>
      <c r="I60" t="str">
        <v>ZCR</v>
      </c>
      <c r="J60" t="str">
        <v>A12-PSV-604B</v>
      </c>
      <c r="L60">
        <v>46268</v>
      </c>
      <c r="M60">
        <v>46268</v>
      </c>
      <c r="N60">
        <v>46268</v>
      </c>
      <c r="O60">
        <v>46268</v>
      </c>
      <c r="P60" t="str">
        <v>Misc</v>
      </c>
      <c r="Q60">
        <v>1.4</v>
      </c>
      <c r="R60">
        <v>1</v>
      </c>
      <c r="S60">
        <v>2</v>
      </c>
      <c r="T60">
        <v>46268</v>
      </c>
      <c r="U60">
        <v>46268</v>
      </c>
      <c r="V60">
        <v>46268</v>
      </c>
      <c r="W60">
        <v>0</v>
      </c>
      <c r="X60">
        <v>1</v>
      </c>
      <c r="Y60" t="str">
        <v>Completed</v>
      </c>
      <c r="Z60" t="str">
        <v>W1</v>
      </c>
      <c r="AB60" t="str">
        <v>PSV was found passing after calibration. Overhauling completed. Final inspection pending.</v>
      </c>
    </row>
    <row r="61">
      <c r="A61">
        <v>51</v>
      </c>
      <c r="B61" t="str">
        <v>APSTT1</v>
      </c>
      <c r="C61" t="str">
        <v>401425569</v>
      </c>
      <c r="D61" t="str">
        <v>Descon</v>
      </c>
      <c r="E61" t="str">
        <v>Fix foam chamber glass #1 after test</v>
      </c>
      <c r="F61" t="str">
        <v>AR-AREA1</v>
      </c>
      <c r="G61" t="str">
        <v>D</v>
      </c>
      <c r="H61" t="str">
        <v>ZP</v>
      </c>
      <c r="I61" t="str">
        <v>ZCR</v>
      </c>
      <c r="J61" t="str">
        <v>T-A9102</v>
      </c>
      <c r="L61">
        <v>46268</v>
      </c>
      <c r="M61">
        <v>46268</v>
      </c>
      <c r="N61">
        <v>46268</v>
      </c>
      <c r="O61">
        <v>46268</v>
      </c>
      <c r="P61" t="str">
        <v>Misc</v>
      </c>
      <c r="Q61">
        <v>1.4</v>
      </c>
      <c r="R61">
        <v>2</v>
      </c>
      <c r="S61">
        <v>1</v>
      </c>
      <c r="T61">
        <v>46268</v>
      </c>
      <c r="U61">
        <v>46268</v>
      </c>
      <c r="V61">
        <v>46268</v>
      </c>
      <c r="W61">
        <v>0</v>
      </c>
      <c r="X61">
        <v>1</v>
      </c>
      <c r="Y61" t="str">
        <v>Completed</v>
      </c>
      <c r="Z61" t="str">
        <v>W1</v>
      </c>
      <c r="AB61" t="str">
        <v>Completed</v>
      </c>
    </row>
    <row r="62">
      <c r="A62">
        <v>52</v>
      </c>
      <c r="B62" t="str">
        <v>APSTT1</v>
      </c>
      <c r="C62" t="str">
        <v>401425569</v>
      </c>
      <c r="D62" t="str">
        <v>Descon</v>
      </c>
      <c r="E62" t="str">
        <v>Fix foam chamber glass #2 after test</v>
      </c>
      <c r="F62" t="str">
        <v>AR-AREA1</v>
      </c>
      <c r="G62" t="str">
        <v>D</v>
      </c>
      <c r="H62" t="str">
        <v>ZP</v>
      </c>
      <c r="I62" t="str">
        <v>ZCR</v>
      </c>
      <c r="J62" t="str">
        <v>T-A9102</v>
      </c>
      <c r="L62">
        <v>46268</v>
      </c>
      <c r="M62">
        <v>46268</v>
      </c>
      <c r="N62">
        <v>46268</v>
      </c>
      <c r="O62">
        <v>46268</v>
      </c>
      <c r="P62" t="str">
        <v>Misc</v>
      </c>
      <c r="Q62">
        <v>1.4</v>
      </c>
      <c r="R62">
        <v>2</v>
      </c>
      <c r="S62">
        <v>1</v>
      </c>
      <c r="T62">
        <v>46268</v>
      </c>
      <c r="U62">
        <v>46268</v>
      </c>
      <c r="V62">
        <v>46268</v>
      </c>
      <c r="W62">
        <v>0</v>
      </c>
      <c r="X62">
        <v>1</v>
      </c>
      <c r="Y62" t="str">
        <v>Completed</v>
      </c>
      <c r="Z62" t="str">
        <v>W1</v>
      </c>
      <c r="AB62" t="str">
        <v>Completed</v>
      </c>
    </row>
    <row r="63">
      <c r="A63">
        <v>53</v>
      </c>
      <c r="B63" t="str">
        <v>APSTT1</v>
      </c>
      <c r="C63" t="str">
        <v>401425569</v>
      </c>
      <c r="D63" t="str">
        <v>Descon</v>
      </c>
      <c r="E63" t="str">
        <v>Fix foam chamber glass #3 after test</v>
      </c>
      <c r="F63" t="str">
        <v>AR-AREA1</v>
      </c>
      <c r="G63" t="str">
        <v>D</v>
      </c>
      <c r="H63" t="str">
        <v>ZP</v>
      </c>
      <c r="I63" t="str">
        <v>ZCR</v>
      </c>
      <c r="J63" t="str">
        <v>T-A9102</v>
      </c>
      <c r="L63">
        <v>46268</v>
      </c>
      <c r="M63">
        <v>46268</v>
      </c>
      <c r="N63">
        <v>46268</v>
      </c>
      <c r="O63">
        <v>46268</v>
      </c>
      <c r="P63" t="str">
        <v>Misc</v>
      </c>
      <c r="Q63">
        <v>1.4</v>
      </c>
      <c r="R63">
        <v>2</v>
      </c>
      <c r="S63">
        <v>1</v>
      </c>
      <c r="T63">
        <v>46268</v>
      </c>
      <c r="U63">
        <v>46268</v>
      </c>
      <c r="V63">
        <v>46268</v>
      </c>
      <c r="W63">
        <v>0</v>
      </c>
      <c r="X63">
        <v>1</v>
      </c>
      <c r="Y63" t="str">
        <v>Completed</v>
      </c>
      <c r="Z63" t="str">
        <v>W1</v>
      </c>
      <c r="AB63" t="str">
        <v>Completed</v>
      </c>
    </row>
    <row r="64">
      <c r="A64">
        <v>54</v>
      </c>
      <c r="B64" t="str">
        <v>APSTT1</v>
      </c>
      <c r="C64" t="str">
        <v>401425569</v>
      </c>
      <c r="D64" t="str">
        <v>Descon</v>
      </c>
      <c r="E64" t="str">
        <v>FoamChamber#1 Blind 8"Class150/test</v>
      </c>
      <c r="F64" t="str">
        <v>AR-AREA1</v>
      </c>
      <c r="G64" t="str">
        <v>D</v>
      </c>
      <c r="H64" t="str">
        <v>ZP</v>
      </c>
      <c r="I64" t="str">
        <v>ZCR</v>
      </c>
      <c r="J64" t="str">
        <v>T-A9102</v>
      </c>
      <c r="L64">
        <v>46268</v>
      </c>
      <c r="M64">
        <v>46268</v>
      </c>
      <c r="N64">
        <v>46268</v>
      </c>
      <c r="O64">
        <v>46268</v>
      </c>
      <c r="P64" t="str">
        <v>Misc</v>
      </c>
      <c r="Q64">
        <v>2</v>
      </c>
      <c r="R64">
        <v>2</v>
      </c>
      <c r="S64">
        <v>2</v>
      </c>
      <c r="T64">
        <v>46268</v>
      </c>
      <c r="U64">
        <v>46268</v>
      </c>
      <c r="V64">
        <v>46268</v>
      </c>
      <c r="W64">
        <v>0</v>
      </c>
      <c r="X64">
        <v>1</v>
      </c>
      <c r="Y64" t="str">
        <v>Completed</v>
      </c>
      <c r="Z64" t="str">
        <v>W1</v>
      </c>
      <c r="AB64" t="str">
        <v>Completed</v>
      </c>
    </row>
    <row r="65">
      <c r="A65">
        <v>55</v>
      </c>
      <c r="B65" t="str">
        <v>APSTT1</v>
      </c>
      <c r="C65" t="str">
        <v>401425569</v>
      </c>
      <c r="D65" t="str">
        <v>Descon</v>
      </c>
      <c r="E65" t="str">
        <v>FoamChamber#2 Blind 8"Class150/test</v>
      </c>
      <c r="F65" t="str">
        <v>AR-AREA1</v>
      </c>
      <c r="G65" t="str">
        <v>D</v>
      </c>
      <c r="H65" t="str">
        <v>ZP</v>
      </c>
      <c r="I65" t="str">
        <v>ZCR</v>
      </c>
      <c r="J65" t="str">
        <v>T-A9102</v>
      </c>
      <c r="L65">
        <v>46268</v>
      </c>
      <c r="M65">
        <v>46268</v>
      </c>
      <c r="N65">
        <v>46268</v>
      </c>
      <c r="O65">
        <v>46268</v>
      </c>
      <c r="P65" t="str">
        <v>Misc</v>
      </c>
      <c r="Q65">
        <v>2</v>
      </c>
      <c r="R65">
        <v>2</v>
      </c>
      <c r="S65">
        <v>2</v>
      </c>
      <c r="T65">
        <v>46268</v>
      </c>
      <c r="U65">
        <v>46268</v>
      </c>
      <c r="V65">
        <v>46268</v>
      </c>
      <c r="W65">
        <v>0</v>
      </c>
      <c r="X65">
        <v>1</v>
      </c>
      <c r="Y65" t="str">
        <v>Completed</v>
      </c>
      <c r="Z65" t="str">
        <v>W1</v>
      </c>
      <c r="AB65" t="str">
        <v>Completed</v>
      </c>
    </row>
    <row r="66">
      <c r="A66">
        <v>56</v>
      </c>
      <c r="B66" t="str">
        <v>APSTT1</v>
      </c>
      <c r="C66" t="str">
        <v>401425569</v>
      </c>
      <c r="D66" t="str">
        <v>Descon</v>
      </c>
      <c r="E66" t="str">
        <v>FoamChamber#3 Blind 8"Class150/test</v>
      </c>
      <c r="F66" t="str">
        <v>AR-AREA1</v>
      </c>
      <c r="G66" t="str">
        <v>D</v>
      </c>
      <c r="H66" t="str">
        <v>ZP</v>
      </c>
      <c r="I66" t="str">
        <v>ZCR</v>
      </c>
      <c r="J66" t="str">
        <v>T-A9102</v>
      </c>
      <c r="L66">
        <v>46268</v>
      </c>
      <c r="M66">
        <v>46268</v>
      </c>
      <c r="N66">
        <v>46268</v>
      </c>
      <c r="O66">
        <v>46268</v>
      </c>
      <c r="P66" t="str">
        <v>Misc</v>
      </c>
      <c r="Q66">
        <v>2</v>
      </c>
      <c r="R66">
        <v>2</v>
      </c>
      <c r="S66">
        <v>2</v>
      </c>
      <c r="T66">
        <v>46268</v>
      </c>
      <c r="U66">
        <v>46268</v>
      </c>
      <c r="V66">
        <v>46268</v>
      </c>
      <c r="W66">
        <v>0</v>
      </c>
      <c r="X66">
        <v>1</v>
      </c>
      <c r="Y66" t="str">
        <v>Completed</v>
      </c>
      <c r="Z66" t="str">
        <v>W1</v>
      </c>
      <c r="AB66" t="str">
        <v>Completed</v>
      </c>
    </row>
    <row r="67">
      <c r="A67">
        <v>57</v>
      </c>
      <c r="B67" t="str">
        <v>APSTT1</v>
      </c>
      <c r="C67" t="str">
        <v>401425569</v>
      </c>
      <c r="D67" t="str">
        <v>Descon</v>
      </c>
      <c r="E67" t="str">
        <v>FoamChmber#1 Deblind8"Class150 aftr test</v>
      </c>
      <c r="F67" t="str">
        <v>AR-AREA1</v>
      </c>
      <c r="G67" t="str">
        <v>D</v>
      </c>
      <c r="H67" t="str">
        <v>ZP</v>
      </c>
      <c r="I67" t="str">
        <v>ZCR</v>
      </c>
      <c r="J67" t="str">
        <v>T-A9102</v>
      </c>
      <c r="L67">
        <v>46268</v>
      </c>
      <c r="M67">
        <v>46268</v>
      </c>
      <c r="N67">
        <v>46268</v>
      </c>
      <c r="O67">
        <v>46268</v>
      </c>
      <c r="P67" t="str">
        <v>Misc</v>
      </c>
      <c r="Q67">
        <v>2</v>
      </c>
      <c r="R67">
        <v>2</v>
      </c>
      <c r="S67">
        <v>2</v>
      </c>
      <c r="T67">
        <v>46268</v>
      </c>
      <c r="U67">
        <v>46268</v>
      </c>
      <c r="V67">
        <v>46268</v>
      </c>
      <c r="W67">
        <v>0</v>
      </c>
      <c r="X67">
        <v>1</v>
      </c>
      <c r="Y67" t="str">
        <v>Completed</v>
      </c>
      <c r="Z67" t="str">
        <v>W1</v>
      </c>
      <c r="AB67" t="str">
        <v>Completed</v>
      </c>
    </row>
    <row r="68">
      <c r="A68">
        <v>58</v>
      </c>
      <c r="B68" t="str">
        <v>APSTT1</v>
      </c>
      <c r="C68" t="str">
        <v>401425569</v>
      </c>
      <c r="D68" t="str">
        <v>Descon</v>
      </c>
      <c r="E68" t="str">
        <v>FoamChmber#2 Deblind8"Class150 aftr test</v>
      </c>
      <c r="F68" t="str">
        <v>AR-AREA1</v>
      </c>
      <c r="G68" t="str">
        <v>D</v>
      </c>
      <c r="H68" t="str">
        <v>ZP</v>
      </c>
      <c r="I68" t="str">
        <v>ZCR</v>
      </c>
      <c r="J68" t="str">
        <v>T-A9102</v>
      </c>
      <c r="L68">
        <v>46268</v>
      </c>
      <c r="M68">
        <v>46268</v>
      </c>
      <c r="N68">
        <v>46268</v>
      </c>
      <c r="O68">
        <v>46268</v>
      </c>
      <c r="P68" t="str">
        <v>Misc</v>
      </c>
      <c r="Q68">
        <v>2</v>
      </c>
      <c r="R68">
        <v>2</v>
      </c>
      <c r="S68">
        <v>2</v>
      </c>
      <c r="T68">
        <v>46268</v>
      </c>
      <c r="U68">
        <v>46268</v>
      </c>
      <c r="V68">
        <v>46268</v>
      </c>
      <c r="W68">
        <v>0</v>
      </c>
      <c r="X68">
        <v>1</v>
      </c>
      <c r="Y68" t="str">
        <v>Completed</v>
      </c>
      <c r="Z68" t="str">
        <v>W1</v>
      </c>
      <c r="AB68" t="str">
        <v>Completed</v>
      </c>
    </row>
    <row r="69">
      <c r="A69">
        <v>59</v>
      </c>
      <c r="B69" t="str">
        <v>APSTT1</v>
      </c>
      <c r="C69" t="str">
        <v>401425569</v>
      </c>
      <c r="D69" t="str">
        <v>Descon</v>
      </c>
      <c r="E69" t="str">
        <v>FoamChmber#3 Deblind8"Class150 aftr test</v>
      </c>
      <c r="F69" t="str">
        <v>AR-AREA1</v>
      </c>
      <c r="G69" t="str">
        <v>D</v>
      </c>
      <c r="H69" t="str">
        <v>ZP</v>
      </c>
      <c r="I69" t="str">
        <v>ZCR</v>
      </c>
      <c r="J69" t="str">
        <v>T-A9102</v>
      </c>
      <c r="L69">
        <v>46268</v>
      </c>
      <c r="M69">
        <v>46268</v>
      </c>
      <c r="N69">
        <v>46268</v>
      </c>
      <c r="O69">
        <v>46268</v>
      </c>
      <c r="P69" t="str">
        <v>Misc</v>
      </c>
      <c r="Q69">
        <v>2</v>
      </c>
      <c r="R69">
        <v>2</v>
      </c>
      <c r="S69">
        <v>2</v>
      </c>
      <c r="T69">
        <v>46268</v>
      </c>
      <c r="U69">
        <v>46268</v>
      </c>
      <c r="V69">
        <v>46268</v>
      </c>
      <c r="W69">
        <v>0</v>
      </c>
      <c r="X69">
        <v>1</v>
      </c>
      <c r="Y69" t="str">
        <v>Completed</v>
      </c>
      <c r="Z69" t="str">
        <v>W1</v>
      </c>
      <c r="AB69" t="str">
        <v>Completed</v>
      </c>
    </row>
    <row r="70">
      <c r="A70">
        <v>60</v>
      </c>
      <c r="B70" t="str">
        <v>APSTT1</v>
      </c>
      <c r="C70" t="str">
        <v>401650296</v>
      </c>
      <c r="D70" t="str">
        <v>Descon</v>
      </c>
      <c r="E70" t="str">
        <v>Heater Blinding br#50</v>
      </c>
      <c r="F70" t="str">
        <v>AR-AREA4</v>
      </c>
      <c r="G70" t="str">
        <v>B</v>
      </c>
      <c r="H70" t="str">
        <v>ZP</v>
      </c>
      <c r="I70" t="str">
        <v>ZCR</v>
      </c>
      <c r="J70" t="str">
        <v>F-A3001</v>
      </c>
      <c r="K70" t="str">
        <v>2"150(1)0.5"(02)</v>
      </c>
      <c r="L70">
        <v>46268</v>
      </c>
      <c r="M70">
        <v>46268</v>
      </c>
      <c r="N70">
        <v>46268</v>
      </c>
      <c r="O70">
        <v>46268</v>
      </c>
      <c r="P70" t="str">
        <v>Misc</v>
      </c>
      <c r="Q70">
        <v>1</v>
      </c>
      <c r="R70">
        <v>2</v>
      </c>
      <c r="S70">
        <v>1</v>
      </c>
      <c r="T70">
        <v>46268</v>
      </c>
      <c r="U70">
        <v>46268</v>
      </c>
      <c r="V70">
        <v>46268</v>
      </c>
      <c r="W70">
        <v>0</v>
      </c>
      <c r="X70">
        <v>1</v>
      </c>
      <c r="Y70" t="str">
        <v>Completed</v>
      </c>
      <c r="Z70" t="str">
        <v>W1</v>
      </c>
      <c r="AB70" t="str">
        <v>Completed</v>
      </c>
    </row>
    <row r="71">
      <c r="A71">
        <v>61</v>
      </c>
      <c r="B71" t="str">
        <v>APSTT1</v>
      </c>
      <c r="C71" t="str">
        <v>401650296</v>
      </c>
      <c r="D71" t="str">
        <v>Descon</v>
      </c>
      <c r="E71" t="str">
        <v>Heater Deblinding br#50</v>
      </c>
      <c r="F71" t="str">
        <v>AR-AREA4</v>
      </c>
      <c r="G71" t="str">
        <v>B</v>
      </c>
      <c r="H71" t="str">
        <v>ZP</v>
      </c>
      <c r="I71" t="str">
        <v>ZCR</v>
      </c>
      <c r="J71" t="str">
        <v>F-A3001</v>
      </c>
      <c r="K71" t="str">
        <v>2"150(1)0.5"(02)</v>
      </c>
      <c r="L71">
        <v>46268</v>
      </c>
      <c r="M71">
        <v>46268</v>
      </c>
      <c r="N71">
        <v>46268</v>
      </c>
      <c r="O71">
        <v>46268</v>
      </c>
      <c r="P71" t="str">
        <v>Misc</v>
      </c>
      <c r="Q71">
        <v>1</v>
      </c>
      <c r="R71">
        <v>2</v>
      </c>
      <c r="S71">
        <v>1</v>
      </c>
      <c r="T71">
        <v>46268</v>
      </c>
      <c r="U71">
        <v>46268</v>
      </c>
      <c r="V71">
        <v>46268</v>
      </c>
      <c r="W71">
        <v>0</v>
      </c>
      <c r="X71">
        <v>1</v>
      </c>
      <c r="Y71" t="str">
        <v>Completed</v>
      </c>
      <c r="Z71" t="str">
        <v>W1</v>
      </c>
      <c r="AB71" t="str">
        <v>Completed</v>
      </c>
    </row>
    <row r="72">
      <c r="A72">
        <v>62</v>
      </c>
      <c r="B72" t="str">
        <v>APSTT1</v>
      </c>
      <c r="C72" t="str">
        <v>401546709</v>
      </c>
      <c r="D72" t="str">
        <v>OQ</v>
      </c>
      <c r="E72" t="str">
        <v>JSA prep. Remove/Fix breather Same Day</v>
      </c>
      <c r="F72" t="str">
        <v>AR-AREA1</v>
      </c>
      <c r="G72" t="str">
        <v>A</v>
      </c>
      <c r="H72" t="str">
        <v>ZM</v>
      </c>
      <c r="I72" t="str">
        <v>ZPM</v>
      </c>
      <c r="J72" t="str">
        <v>A99-PSV-211</v>
      </c>
      <c r="L72">
        <v>46268</v>
      </c>
      <c r="M72">
        <v>46268</v>
      </c>
      <c r="N72">
        <v>46268</v>
      </c>
      <c r="O72">
        <v>46268</v>
      </c>
      <c r="P72" t="str">
        <v>Misc</v>
      </c>
      <c r="Q72">
        <v>0.1</v>
      </c>
      <c r="R72">
        <v>1</v>
      </c>
      <c r="S72">
        <v>0.1</v>
      </c>
      <c r="T72">
        <v>46268</v>
      </c>
      <c r="U72">
        <v>46268</v>
      </c>
      <c r="V72">
        <v>46268</v>
      </c>
      <c r="W72">
        <v>0</v>
      </c>
      <c r="X72">
        <v>1</v>
      </c>
      <c r="Y72" t="str">
        <v>Completed</v>
      </c>
      <c r="Z72" t="str">
        <v>W1</v>
      </c>
      <c r="AB72" t="str">
        <v>Completed</v>
      </c>
    </row>
    <row r="73">
      <c r="A73">
        <v>63</v>
      </c>
      <c r="B73" t="str">
        <v>APSTT1</v>
      </c>
      <c r="C73" t="str">
        <v>401425573</v>
      </c>
      <c r="D73" t="str">
        <v>OQ</v>
      </c>
      <c r="E73" t="str">
        <v>JSA@Blind/De-blind foam chamber testing</v>
      </c>
      <c r="F73" t="str">
        <v>AR-AREA1</v>
      </c>
      <c r="G73" t="str">
        <v>D</v>
      </c>
      <c r="H73" t="str">
        <v>ZP</v>
      </c>
      <c r="I73" t="str">
        <v>ZCR</v>
      </c>
      <c r="J73" t="str">
        <v>T-A9104</v>
      </c>
      <c r="L73">
        <v>46268</v>
      </c>
      <c r="M73">
        <v>46268</v>
      </c>
      <c r="N73">
        <v>46268</v>
      </c>
      <c r="O73">
        <v>46268</v>
      </c>
      <c r="P73" t="str">
        <v>Misc</v>
      </c>
      <c r="Q73">
        <v>0.1</v>
      </c>
      <c r="R73">
        <v>1</v>
      </c>
      <c r="S73">
        <v>0.1</v>
      </c>
      <c r="T73">
        <v>46268</v>
      </c>
      <c r="U73">
        <v>46268</v>
      </c>
      <c r="V73">
        <v>46268</v>
      </c>
      <c r="W73">
        <v>0</v>
      </c>
      <c r="X73">
        <v>1</v>
      </c>
      <c r="Y73" t="str">
        <v>Completed</v>
      </c>
      <c r="Z73" t="str">
        <v>W1</v>
      </c>
      <c r="AB73" t="str">
        <v>Completed</v>
      </c>
    </row>
    <row r="74">
      <c r="A74">
        <v>64</v>
      </c>
      <c r="B74" t="str">
        <v>APSTT1</v>
      </c>
      <c r="C74" t="str">
        <v>401645294</v>
      </c>
      <c r="D74" t="str">
        <v>Descon</v>
      </c>
      <c r="E74" t="str">
        <v>Pullout steamtrap 3/4" ST-A30123@F-A3001</v>
      </c>
      <c r="F74" t="str">
        <v>AR-AREA4</v>
      </c>
      <c r="G74" t="str">
        <v>D</v>
      </c>
      <c r="H74" t="str">
        <v>ZP</v>
      </c>
      <c r="I74" t="str">
        <v>ZCR</v>
      </c>
      <c r="J74" t="str">
        <v>AR-AREA4 REC GENERAL U-3000</v>
      </c>
      <c r="L74">
        <v>46268</v>
      </c>
      <c r="M74">
        <v>46268</v>
      </c>
      <c r="N74">
        <v>46268</v>
      </c>
      <c r="O74">
        <v>46268</v>
      </c>
      <c r="P74" t="str">
        <v>Misc</v>
      </c>
      <c r="Q74">
        <v>1.4</v>
      </c>
      <c r="R74">
        <v>2</v>
      </c>
      <c r="S74">
        <v>1</v>
      </c>
      <c r="T74">
        <v>46268</v>
      </c>
      <c r="U74">
        <v>46268</v>
      </c>
      <c r="V74">
        <v>46268</v>
      </c>
      <c r="W74">
        <v>0</v>
      </c>
      <c r="X74">
        <v>1</v>
      </c>
      <c r="Y74" t="str">
        <v>Completed</v>
      </c>
      <c r="Z74" t="str">
        <v>W1</v>
      </c>
      <c r="AB74" t="str">
        <v>Completed</v>
      </c>
    </row>
    <row r="75">
      <c r="A75">
        <v>65</v>
      </c>
      <c r="B75" t="str">
        <v>APSTT1</v>
      </c>
      <c r="C75" t="str">
        <v>401650296</v>
      </c>
      <c r="D75" t="str">
        <v>Descon</v>
      </c>
      <c r="E75" t="str">
        <v>Removal,cleaning&amp;install br#50</v>
      </c>
      <c r="F75" t="str">
        <v>AR-AREA4</v>
      </c>
      <c r="G75" t="str">
        <v>B</v>
      </c>
      <c r="H75" t="str">
        <v>ZP</v>
      </c>
      <c r="I75" t="str">
        <v>ZCR</v>
      </c>
      <c r="J75" t="str">
        <v>F-A3001</v>
      </c>
      <c r="L75">
        <v>46268</v>
      </c>
      <c r="M75">
        <v>46268</v>
      </c>
      <c r="N75">
        <v>46268</v>
      </c>
      <c r="O75">
        <v>46268</v>
      </c>
      <c r="P75">
        <v>1920</v>
      </c>
      <c r="Q75">
        <v>6</v>
      </c>
      <c r="R75">
        <v>3</v>
      </c>
      <c r="S75">
        <v>8</v>
      </c>
      <c r="T75">
        <v>46268</v>
      </c>
      <c r="U75">
        <v>46268</v>
      </c>
      <c r="V75">
        <v>46268</v>
      </c>
      <c r="W75">
        <v>0</v>
      </c>
      <c r="X75">
        <v>1</v>
      </c>
      <c r="Y75" t="str">
        <v>Completed</v>
      </c>
      <c r="Z75" t="str">
        <v>W1</v>
      </c>
      <c r="AB75" t="str">
        <v>Completed</v>
      </c>
    </row>
    <row r="76">
      <c r="A76">
        <v>66</v>
      </c>
      <c r="B76" t="str">
        <v>APSTT1</v>
      </c>
      <c r="C76" t="str">
        <v>401645294</v>
      </c>
      <c r="D76" t="str">
        <v>Descon</v>
      </c>
      <c r="E76" t="str">
        <v>Replace steamtrap 3/4"ST-A30123@F-A3001</v>
      </c>
      <c r="F76" t="str">
        <v>AR-AREA4</v>
      </c>
      <c r="G76" t="str">
        <v>D</v>
      </c>
      <c r="H76" t="str">
        <v>ZP</v>
      </c>
      <c r="I76" t="str">
        <v>ZCR</v>
      </c>
      <c r="J76" t="str">
        <v>AR-AREA4 REC GENERAL U-3000</v>
      </c>
      <c r="L76">
        <v>46268</v>
      </c>
      <c r="M76">
        <v>46268</v>
      </c>
      <c r="N76">
        <v>46268</v>
      </c>
      <c r="O76">
        <v>46268</v>
      </c>
      <c r="P76" t="str">
        <v>Misc</v>
      </c>
      <c r="Q76">
        <v>1.4</v>
      </c>
      <c r="R76">
        <v>2</v>
      </c>
      <c r="S76">
        <v>1</v>
      </c>
      <c r="T76">
        <v>46268</v>
      </c>
      <c r="U76">
        <v>46268</v>
      </c>
      <c r="V76">
        <v>46268</v>
      </c>
      <c r="W76">
        <v>0</v>
      </c>
      <c r="X76">
        <v>1</v>
      </c>
      <c r="Y76" t="str">
        <v>Completed</v>
      </c>
      <c r="Z76" t="str">
        <v>W1</v>
      </c>
      <c r="AB76" t="str">
        <v>Completed</v>
      </c>
    </row>
    <row r="77">
      <c r="A77">
        <v>67</v>
      </c>
      <c r="B77" t="str">
        <v>APSTT1</v>
      </c>
      <c r="C77" t="str">
        <v>401645948</v>
      </c>
      <c r="D77" t="str">
        <v>Descon</v>
      </c>
      <c r="E77" t="str">
        <v>steam trace leak/rectify (1/2"Sch40,STD)</v>
      </c>
      <c r="F77" t="str">
        <v>AR-AREA5</v>
      </c>
      <c r="G77" t="str">
        <v>C</v>
      </c>
      <c r="H77" t="str">
        <v>ZP</v>
      </c>
      <c r="I77" t="str">
        <v>ZCR</v>
      </c>
      <c r="J77" t="str">
        <v>E-A4004-M7</v>
      </c>
      <c r="L77">
        <v>46268</v>
      </c>
      <c r="M77">
        <v>46268</v>
      </c>
      <c r="P77" t="str">
        <v>Misc</v>
      </c>
      <c r="Q77">
        <v>1.4</v>
      </c>
      <c r="W77">
        <v>1</v>
      </c>
      <c r="Y77" t="str">
        <v>Not Statrted</v>
      </c>
      <c r="Z77" t="str">
        <v>W1</v>
      </c>
      <c r="AA77" t="str">
        <v>Overloaded</v>
      </c>
      <c r="AB77" t="str">
        <v>Job could not be attended as the available man-hours were fully utilized.</v>
      </c>
    </row>
    <row r="78">
      <c r="A78">
        <v>68</v>
      </c>
      <c r="B78" t="str">
        <v>APSTT1</v>
      </c>
      <c r="C78" t="str">
        <v>401641461</v>
      </c>
      <c r="D78" t="str">
        <v>OQ Other Contractor</v>
      </c>
      <c r="E78" t="str">
        <v>V-A2008A Adsorbent replacement</v>
      </c>
      <c r="F78" t="str">
        <v>AR-AREA3</v>
      </c>
      <c r="G78" t="str">
        <v>B</v>
      </c>
      <c r="H78" t="str">
        <v>ZP</v>
      </c>
      <c r="I78" t="str">
        <v>ZCR</v>
      </c>
      <c r="J78" t="str">
        <v>V-A2008A</v>
      </c>
      <c r="L78">
        <v>46268</v>
      </c>
      <c r="M78">
        <v>46268</v>
      </c>
      <c r="P78" t="str">
        <v>Misc</v>
      </c>
      <c r="Q78">
        <v>0.1</v>
      </c>
      <c r="W78">
        <v>1</v>
      </c>
      <c r="Y78" t="str">
        <v>Not Statrted</v>
      </c>
      <c r="Z78" t="str">
        <v>W1</v>
      </c>
      <c r="AB78" t="str">
        <v>Under CR Scope</v>
      </c>
    </row>
    <row r="79">
      <c r="A79">
        <v>69</v>
      </c>
      <c r="B79" t="str">
        <v>APSTT1</v>
      </c>
      <c r="D79" t="str">
        <v>Descon</v>
      </c>
      <c r="E79" t="str">
        <v>Missing U Clamps Installation K-A2002A</v>
      </c>
      <c r="F79" t="str">
        <v>AR-AREA3</v>
      </c>
      <c r="G79" t="str">
        <v>B</v>
      </c>
      <c r="H79" t="str">
        <v>ZP</v>
      </c>
      <c r="I79" t="str">
        <v>ZCR</v>
      </c>
      <c r="J79" t="str">
        <v>K-A2002A</v>
      </c>
      <c r="L79">
        <v>46268</v>
      </c>
      <c r="M79">
        <v>46268</v>
      </c>
      <c r="N79">
        <v>46268</v>
      </c>
      <c r="O79">
        <v>46268</v>
      </c>
      <c r="P79" t="str">
        <v>Misc</v>
      </c>
      <c r="R79">
        <v>2</v>
      </c>
      <c r="S79">
        <v>2</v>
      </c>
      <c r="W79">
        <v>1</v>
      </c>
      <c r="Y79" t="str">
        <v>Not Statrted</v>
      </c>
      <c r="Z79" t="str">
        <v>W1</v>
      </c>
      <c r="AB79" t="str">
        <v>Emergency Notification</v>
      </c>
    </row>
    <row r="80">
      <c r="C80" t="str">
        <v>401656486</v>
      </c>
      <c r="D80" t="str">
        <v>Descon</v>
      </c>
      <c r="E80" t="str">
        <v>Clean suction strainer(size:24"Class300)</v>
      </c>
      <c r="F80" t="str">
        <v>AR-AREA6</v>
      </c>
      <c r="G80" t="str">
        <v>B</v>
      </c>
      <c r="I80" t="str">
        <v>ZPM</v>
      </c>
      <c r="J80" t="str">
        <v>P-A4105B</v>
      </c>
      <c r="L80" s="1">
        <v>46271</v>
      </c>
      <c r="M80" s="1">
        <v>46271</v>
      </c>
      <c r="N80" s="1">
        <v>46271</v>
      </c>
      <c r="O80" s="1">
        <v>46271</v>
      </c>
      <c r="Q80">
        <v>17.4</v>
      </c>
      <c r="S80">
        <v>17</v>
      </c>
      <c r="Y80" t="str">
        <v>Completed</v>
      </c>
      <c r="Z80" t="str">
        <v>W2</v>
      </c>
      <c r="AB80" t="str">
        <v/>
      </c>
      <c r="AC80" t="str">
        <v>Completed, Strainer opened and found clean during inspection.</v>
      </c>
    </row>
  </sheetData>
  <pageMargins left="0.2362204724409449" right="0.2362204724409449" top="0.35433070866141736" bottom="0.35433070866141736" header="0.31496062992125984" footer="0.31496062992125984"/>
  <ignoredErrors>
    <ignoredError numberStoredAsText="1" sqref="A1:AC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P26"/>
  <sheetViews>
    <sheetView workbookViewId="0" rightToLeft="0"/>
  </sheetViews>
  <sheetData>
    <row r="1">
      <c r="A1" t="str">
        <v>Daily Attandence Sheet</v>
      </c>
    </row>
    <row r="2">
      <c r="A2" t="str">
        <v>Project :</v>
      </c>
      <c r="D2" t="str">
        <v>OQ-AP AMC Contract 2026-31(R&amp;E  Works)</v>
      </c>
    </row>
    <row r="3">
      <c r="A3" t="str">
        <v>Employees</v>
      </c>
      <c r="D3" t="str">
        <v>Network:</v>
      </c>
      <c r="E3">
        <v>46266</v>
      </c>
      <c r="F3">
        <v>46235</v>
      </c>
      <c r="H3">
        <f>+E3+1</f>
        <v>46267</v>
      </c>
      <c r="K3">
        <f>+H3+1</f>
        <v>46268</v>
      </c>
      <c r="N3">
        <f>+K3+1</f>
        <v>46269</v>
      </c>
      <c r="Q3">
        <f>+N3+1</f>
        <v>46270</v>
      </c>
      <c r="T3">
        <f>+Q3+1</f>
        <v>46271</v>
      </c>
      <c r="W3">
        <f>+T3+1</f>
        <v>46272</v>
      </c>
      <c r="Z3">
        <f>+W3+1</f>
        <v>46273</v>
      </c>
      <c r="AC3">
        <f>+Z3+1</f>
        <v>46274</v>
      </c>
      <c r="AF3">
        <f>+AC3+1</f>
        <v>46275</v>
      </c>
      <c r="AI3">
        <f>+AF3+1</f>
        <v>46276</v>
      </c>
      <c r="AL3">
        <f>+AI3+1</f>
        <v>46277</v>
      </c>
      <c r="AO3">
        <f>+AL3+1</f>
        <v>46278</v>
      </c>
      <c r="AR3">
        <f>+AO3+1</f>
        <v>46279</v>
      </c>
      <c r="AU3">
        <f>+AR3+1</f>
        <v>46280</v>
      </c>
      <c r="AX3">
        <f>+AU3+1</f>
        <v>46281</v>
      </c>
      <c r="BA3">
        <f>+AX3+1</f>
        <v>46282</v>
      </c>
      <c r="BD3">
        <f>+BA3+1</f>
        <v>46283</v>
      </c>
      <c r="BG3">
        <f>+BD3+1</f>
        <v>46284</v>
      </c>
      <c r="BJ3">
        <f>+BG3+1</f>
        <v>46285</v>
      </c>
      <c r="BM3">
        <f>+BJ3+1</f>
        <v>46286</v>
      </c>
      <c r="BP3">
        <f>+BM3+1</f>
        <v>46287</v>
      </c>
      <c r="BS3">
        <f>+BP3+1</f>
        <v>46288</v>
      </c>
      <c r="BV3">
        <f>+BS3+1</f>
        <v>46289</v>
      </c>
      <c r="BY3">
        <f>+BV3+1</f>
        <v>46290</v>
      </c>
      <c r="CB3">
        <f>+BY3+1</f>
        <v>46291</v>
      </c>
      <c r="CE3">
        <f>+CB3+1</f>
        <v>46292</v>
      </c>
      <c r="CH3">
        <f>+CE3+1</f>
        <v>46293</v>
      </c>
      <c r="CK3">
        <f>+CH3+1</f>
        <v>46294</v>
      </c>
      <c r="CN3">
        <f>+CK3+1</f>
        <v>46295</v>
      </c>
    </row>
    <row r="4">
      <c r="D4" t="str">
        <v>Activity:</v>
      </c>
      <c r="F4" t="str">
        <v>-</v>
      </c>
      <c r="H4" t="str">
        <v>-</v>
      </c>
      <c r="K4" t="str">
        <v>-</v>
      </c>
      <c r="N4" t="str">
        <v>-</v>
      </c>
      <c r="Q4" t="str">
        <v>-</v>
      </c>
      <c r="T4" t="str">
        <v>-</v>
      </c>
      <c r="W4" t="str">
        <v>-</v>
      </c>
      <c r="Z4" t="str">
        <v>-</v>
      </c>
      <c r="AC4" t="str">
        <v>-</v>
      </c>
      <c r="AF4" t="str">
        <v>-</v>
      </c>
      <c r="AI4" t="str">
        <v>-</v>
      </c>
      <c r="AL4" t="str">
        <v>-</v>
      </c>
      <c r="AO4" t="str">
        <v>-</v>
      </c>
      <c r="AR4" t="str">
        <v>-</v>
      </c>
      <c r="AU4" t="str">
        <v>-</v>
      </c>
      <c r="AX4" t="str">
        <v>-</v>
      </c>
      <c r="BA4" t="str">
        <v>-</v>
      </c>
      <c r="BD4" t="str">
        <v>-</v>
      </c>
      <c r="BG4" t="str">
        <v>-</v>
      </c>
      <c r="BJ4" t="str">
        <v>-</v>
      </c>
      <c r="BM4" t="str">
        <v>-</v>
      </c>
      <c r="BP4" t="str">
        <v>-</v>
      </c>
      <c r="BS4" t="str">
        <v>-</v>
      </c>
      <c r="BV4" t="str">
        <v>-</v>
      </c>
      <c r="BY4" t="str">
        <v>-</v>
      </c>
      <c r="CB4" t="str">
        <v>-</v>
      </c>
      <c r="CE4" t="str">
        <v>-</v>
      </c>
      <c r="CH4" t="str">
        <v>-</v>
      </c>
      <c r="CK4" t="str">
        <v>-</v>
      </c>
      <c r="CN4" t="str">
        <v>-</v>
      </c>
    </row>
    <row r="5">
      <c r="A5" t="str">
        <v>S.No</v>
      </c>
      <c r="B5" t="str">
        <v>Emp  #</v>
      </c>
      <c r="C5" t="str">
        <v>Name</v>
      </c>
      <c r="D5" t="str">
        <v>Craft</v>
      </c>
      <c r="E5" t="str">
        <v>Status</v>
      </c>
      <c r="F5" t="str">
        <v>N/T</v>
      </c>
      <c r="G5" t="str">
        <v>O/T</v>
      </c>
      <c r="H5" t="str">
        <v>Status</v>
      </c>
      <c r="I5" t="str">
        <v>N/T</v>
      </c>
      <c r="J5" t="str">
        <v>O/T</v>
      </c>
      <c r="K5" t="str">
        <v>Status</v>
      </c>
      <c r="L5" t="str">
        <v>N/T</v>
      </c>
      <c r="M5" t="str">
        <v>O/T</v>
      </c>
      <c r="N5" t="str">
        <v>Status</v>
      </c>
      <c r="O5" t="str">
        <v>N/T</v>
      </c>
      <c r="P5" t="str">
        <v>O/T</v>
      </c>
      <c r="Q5" t="str">
        <v>Status</v>
      </c>
      <c r="R5" t="str">
        <v>N/T</v>
      </c>
      <c r="S5" t="str">
        <v>O/T</v>
      </c>
      <c r="T5" t="str">
        <v>Status</v>
      </c>
      <c r="U5" t="str">
        <v>N/T</v>
      </c>
      <c r="V5" t="str">
        <v>O/T</v>
      </c>
      <c r="W5" t="str">
        <v>Status</v>
      </c>
      <c r="X5" t="str">
        <v>N/T</v>
      </c>
      <c r="Y5" t="str">
        <v>O/T</v>
      </c>
      <c r="Z5" t="str">
        <v>Status</v>
      </c>
      <c r="AA5" t="str">
        <v>N/T</v>
      </c>
      <c r="AB5" t="str">
        <v>O/T</v>
      </c>
      <c r="AC5" t="str">
        <v>Status</v>
      </c>
      <c r="AD5" t="str">
        <v>N/T</v>
      </c>
      <c r="AE5" t="str">
        <v>O/T</v>
      </c>
      <c r="AF5" t="str">
        <v>Status</v>
      </c>
      <c r="AG5" t="str">
        <v>N/T</v>
      </c>
      <c r="AH5" t="str">
        <v>O/T</v>
      </c>
      <c r="AI5" t="str">
        <v>Status</v>
      </c>
      <c r="AJ5" t="str">
        <v>N/T</v>
      </c>
      <c r="AK5" t="str">
        <v>O/T</v>
      </c>
      <c r="AL5" t="str">
        <v>Status</v>
      </c>
      <c r="AM5" t="str">
        <v>N/T</v>
      </c>
      <c r="AN5" t="str">
        <v>O/T</v>
      </c>
      <c r="AO5" t="str">
        <v>Status</v>
      </c>
      <c r="AP5" t="str">
        <v>N/T</v>
      </c>
      <c r="AQ5" t="str">
        <v>O/T</v>
      </c>
      <c r="AR5" t="str">
        <v>Status</v>
      </c>
      <c r="AS5" t="str">
        <v>N/T</v>
      </c>
      <c r="AT5" t="str">
        <v>O/T</v>
      </c>
      <c r="AU5" t="str">
        <v>Status</v>
      </c>
      <c r="AV5" t="str">
        <v>N/T</v>
      </c>
      <c r="AW5" t="str">
        <v>O/T</v>
      </c>
      <c r="AX5" t="str">
        <v>Status</v>
      </c>
      <c r="AY5" t="str">
        <v>N/T</v>
      </c>
      <c r="AZ5" t="str">
        <v>O/T</v>
      </c>
      <c r="BA5" t="str">
        <v>Status</v>
      </c>
      <c r="BB5" t="str">
        <v>N/T</v>
      </c>
      <c r="BC5" t="str">
        <v>O/T</v>
      </c>
      <c r="BD5" t="str">
        <v>Status</v>
      </c>
      <c r="BE5" t="str">
        <v>N/T</v>
      </c>
      <c r="BF5" t="str">
        <v>O/T</v>
      </c>
      <c r="BG5" t="str">
        <v>Status</v>
      </c>
      <c r="BH5" t="str">
        <v>N/T</v>
      </c>
      <c r="BI5" t="str">
        <v>O/T</v>
      </c>
      <c r="BJ5" t="str">
        <v>Status</v>
      </c>
      <c r="BK5" t="str">
        <v>N/T</v>
      </c>
      <c r="BL5" t="str">
        <v>O/T</v>
      </c>
      <c r="BM5" t="str">
        <v>Status</v>
      </c>
      <c r="BN5" t="str">
        <v>N/T</v>
      </c>
      <c r="BO5" t="str">
        <v>O/T</v>
      </c>
      <c r="BP5" t="str">
        <v>Status</v>
      </c>
      <c r="BQ5" t="str">
        <v>N/T</v>
      </c>
      <c r="BR5" t="str">
        <v>O/T</v>
      </c>
      <c r="BS5" t="str">
        <v>Status</v>
      </c>
      <c r="BT5" t="str">
        <v>N/T</v>
      </c>
      <c r="BU5" t="str">
        <v>O/T</v>
      </c>
      <c r="BV5" t="str">
        <v>Status</v>
      </c>
      <c r="BW5" t="str">
        <v>N/T</v>
      </c>
      <c r="BX5" t="str">
        <v>O/T</v>
      </c>
      <c r="BY5" t="str">
        <v>Status</v>
      </c>
      <c r="BZ5" t="str">
        <v>N/T</v>
      </c>
      <c r="CA5" t="str">
        <v>O/T</v>
      </c>
      <c r="CB5" t="str">
        <v>Status</v>
      </c>
      <c r="CC5" t="str">
        <v>N/T</v>
      </c>
      <c r="CD5" t="str">
        <v>O/T</v>
      </c>
      <c r="CE5" t="str">
        <v>Status</v>
      </c>
      <c r="CF5" t="str">
        <v>N/T</v>
      </c>
      <c r="CG5" t="str">
        <v>O/T</v>
      </c>
      <c r="CH5" t="str">
        <v>Status</v>
      </c>
      <c r="CI5" t="str">
        <v>N/T</v>
      </c>
      <c r="CJ5" t="str">
        <v>O/T</v>
      </c>
      <c r="CK5" t="str">
        <v>Status</v>
      </c>
      <c r="CL5" t="str">
        <v>N/T</v>
      </c>
      <c r="CM5" t="str">
        <v>O/T</v>
      </c>
      <c r="CN5" t="str">
        <v>Status</v>
      </c>
      <c r="CO5" t="str">
        <v>N/T</v>
      </c>
      <c r="CP5" t="str">
        <v>O/T</v>
      </c>
    </row>
    <row r="6">
      <c r="A6" t="str">
        <v>1</v>
      </c>
      <c r="B6" t="str">
        <v>00106095</v>
      </c>
      <c r="C6" t="str">
        <v>ADNAN FAISAL</v>
      </c>
      <c r="D6" t="str">
        <v>Site Incharge</v>
      </c>
      <c r="E6" t="str">
        <v>P</v>
      </c>
      <c r="F6">
        <v>8</v>
      </c>
    </row>
    <row r="7">
      <c r="A7">
        <f>+A6+1</f>
        <v>2</v>
      </c>
      <c r="B7">
        <v>106936</v>
      </c>
      <c r="C7" t="str">
        <v>ABDUL HASEEB</v>
      </c>
      <c r="D7" t="str">
        <v>Planning Eng</v>
      </c>
      <c r="E7" t="str">
        <v>P</v>
      </c>
      <c r="F7">
        <v>8</v>
      </c>
    </row>
    <row r="8">
      <c r="A8">
        <f>+A7+1</f>
        <v>3</v>
      </c>
      <c r="B8">
        <v>115174</v>
      </c>
      <c r="C8" t="str">
        <v>SAJID HUSSAIN</v>
      </c>
      <c r="D8" t="str">
        <v>Mech. Supervisor</v>
      </c>
      <c r="E8" t="str">
        <v>-</v>
      </c>
      <c r="F8" t="str">
        <v>-</v>
      </c>
    </row>
    <row r="9">
      <c r="A9">
        <f>+A8+1</f>
        <v>4</v>
      </c>
      <c r="B9">
        <v>0</v>
      </c>
      <c r="C9" t="str">
        <v>MUHAMMAD AMIR</v>
      </c>
      <c r="D9" t="str">
        <v>Mech. Supervisor</v>
      </c>
      <c r="E9" t="str">
        <v>P</v>
      </c>
      <c r="F9">
        <v>8</v>
      </c>
    </row>
    <row r="10">
      <c r="A10">
        <f>+A9+1</f>
        <v>5</v>
      </c>
      <c r="B10">
        <v>115425</v>
      </c>
      <c r="C10" t="str">
        <v>DOMINIC ARUL PRASATH ANTONY</v>
      </c>
      <c r="D10" t="str">
        <v>HSE Supervisor</v>
      </c>
      <c r="E10" t="str">
        <v>P</v>
      </c>
      <c r="F10">
        <v>8</v>
      </c>
    </row>
    <row r="11">
      <c r="A11">
        <f>+A10+1</f>
        <v>6</v>
      </c>
      <c r="B11">
        <v>112744</v>
      </c>
      <c r="C11" t="str">
        <v>MUHAMMAD USMAN ZAFFAR</v>
      </c>
      <c r="D11" t="str">
        <v>LEAD HSE</v>
      </c>
      <c r="E11" t="str">
        <v>-</v>
      </c>
      <c r="F11" t="str">
        <v>-</v>
      </c>
    </row>
    <row r="12">
      <c r="A12">
        <f>+A11+1</f>
        <v>7</v>
      </c>
      <c r="B12">
        <v>40085195</v>
      </c>
      <c r="C12" t="str">
        <v>MUHAMMAD USMAN MAQBOOL</v>
      </c>
      <c r="D12" t="str">
        <v>Technician</v>
      </c>
      <c r="E12" t="str">
        <v>P</v>
      </c>
      <c r="F12">
        <v>8</v>
      </c>
    </row>
    <row r="13">
      <c r="A13">
        <f>+A12+1</f>
        <v>8</v>
      </c>
      <c r="B13" t="str">
        <v>40101572</v>
      </c>
      <c r="C13" t="str">
        <v>ADNAN ASHRAF</v>
      </c>
      <c r="D13" t="str">
        <v>Technician</v>
      </c>
      <c r="E13" t="str">
        <v>P</v>
      </c>
      <c r="F13">
        <v>8</v>
      </c>
    </row>
    <row r="14">
      <c r="A14">
        <f>+A13+1</f>
        <v>9</v>
      </c>
      <c r="B14">
        <v>40050306</v>
      </c>
      <c r="C14" t="str">
        <v>MUHAMMAD ADEEL</v>
      </c>
      <c r="D14" t="str">
        <v>Technician</v>
      </c>
      <c r="E14" t="str">
        <v>P</v>
      </c>
      <c r="F14">
        <v>8</v>
      </c>
    </row>
    <row r="15">
      <c r="A15">
        <f>+A14+1</f>
        <v>10</v>
      </c>
      <c r="B15">
        <v>40034396</v>
      </c>
      <c r="C15" t="str">
        <v>SAMASAUM MUBARAK SAMASAUM AL-KAABI</v>
      </c>
      <c r="D15" t="str">
        <v>Technician</v>
      </c>
      <c r="E15" t="str">
        <v>-</v>
      </c>
      <c r="F15" t="str">
        <v>-</v>
      </c>
    </row>
    <row r="16">
      <c r="A16">
        <f>+A15+1</f>
        <v>11</v>
      </c>
      <c r="B16" t="str">
        <v>40034392</v>
      </c>
      <c r="C16" t="str">
        <v>YOUSAF HUMAID SAID AL BADI</v>
      </c>
      <c r="D16" t="str">
        <v>Technician</v>
      </c>
      <c r="E16" t="str">
        <v>-</v>
      </c>
      <c r="F16" t="str">
        <v>-</v>
      </c>
    </row>
    <row r="17">
      <c r="A17">
        <f>+A16+1</f>
        <v>12</v>
      </c>
      <c r="B17">
        <v>40058437</v>
      </c>
      <c r="C17" t="str">
        <v>MOHAMMED ALI DARWISH AL BALUSHI</v>
      </c>
      <c r="D17" t="str">
        <v>Technician</v>
      </c>
      <c r="E17" t="str">
        <v>P</v>
      </c>
      <c r="F17">
        <v>8</v>
      </c>
    </row>
    <row r="18">
      <c r="A18">
        <f>+A17+1</f>
        <v>13</v>
      </c>
      <c r="B18">
        <v>40136139</v>
      </c>
      <c r="C18" t="str">
        <v>SAID SALIM SAIF</v>
      </c>
      <c r="D18" t="str">
        <v>Technician</v>
      </c>
      <c r="E18" t="str">
        <v>P</v>
      </c>
      <c r="F18">
        <v>8</v>
      </c>
    </row>
    <row r="19">
      <c r="A19">
        <f>+A18+1</f>
        <v>14</v>
      </c>
      <c r="B19">
        <v>50060529</v>
      </c>
      <c r="C19" t="str">
        <v>ARSALN MUKHTAR</v>
      </c>
      <c r="D19" t="str">
        <v>Technician</v>
      </c>
      <c r="E19" t="str">
        <v>P</v>
      </c>
      <c r="F19">
        <v>8</v>
      </c>
    </row>
    <row r="20">
      <c r="A20">
        <f>+A19+1</f>
        <v>15</v>
      </c>
      <c r="B20">
        <v>40099230</v>
      </c>
      <c r="C20" t="str">
        <v xml:space="preserve">MUHAMMAD ABDULLAH TAHIR </v>
      </c>
      <c r="D20" t="str">
        <v>Technician</v>
      </c>
      <c r="E20" t="str">
        <v>P</v>
      </c>
      <c r="F20">
        <v>8</v>
      </c>
    </row>
    <row r="21">
      <c r="A21">
        <f>+A20+1</f>
        <v>16</v>
      </c>
      <c r="B21">
        <v>4013137</v>
      </c>
      <c r="C21" t="str">
        <v>IRFAN AHMAD</v>
      </c>
      <c r="D21" t="str">
        <v>Technician</v>
      </c>
      <c r="E21" t="str">
        <v>P</v>
      </c>
      <c r="F21">
        <v>8</v>
      </c>
    </row>
    <row r="22">
      <c r="A22">
        <f>+A21+1</f>
        <v>17</v>
      </c>
      <c r="B22">
        <v>40034386</v>
      </c>
      <c r="C22" t="str">
        <v>AZAN BAKHIT SALIM AL-HOUSNI</v>
      </c>
      <c r="D22" t="str">
        <v>Technician</v>
      </c>
      <c r="E22" t="str">
        <v>P</v>
      </c>
      <c r="F22">
        <v>8</v>
      </c>
    </row>
    <row r="23">
      <c r="A23">
        <f>+A22+1</f>
        <v>18</v>
      </c>
      <c r="B23">
        <v>112744</v>
      </c>
      <c r="C23" t="str">
        <v>MUHAMMAD ASLAM</v>
      </c>
      <c r="D23" t="str">
        <v>Technician</v>
      </c>
      <c r="E23" t="str">
        <v>P</v>
      </c>
      <c r="F23">
        <v>8</v>
      </c>
    </row>
    <row r="26">
      <c r="F26">
        <f>+SUM(F6:F23)-F21-F18-F14</f>
        <v>88</v>
      </c>
      <c r="G26">
        <f>+SUM(G6:G23)-G21-G18-G14</f>
        <v>0</v>
      </c>
      <c r="H26">
        <f>+SUM(H6:H23)-H21-H18-H14</f>
        <v>0</v>
      </c>
      <c r="I26">
        <f>+SUM(I6:I23)-I21-I18-I14</f>
        <v>0</v>
      </c>
      <c r="J26">
        <f>+SUM(J6:J23)-J21-J18-J14</f>
        <v>0</v>
      </c>
      <c r="K26">
        <f>+SUM(K6:K23)-K21-K18-K14</f>
        <v>0</v>
      </c>
      <c r="L26">
        <f>+SUM(L6:L23)-L21-L18-L14</f>
        <v>0</v>
      </c>
      <c r="M26">
        <f>+SUM(M6:M23)-M21-M18-M14</f>
        <v>0</v>
      </c>
      <c r="N26">
        <f>+SUM(N6:N23)-N21-N18-N14</f>
        <v>0</v>
      </c>
      <c r="O26">
        <f>+SUM(O6:O23)-O21-O18-O14</f>
        <v>0</v>
      </c>
      <c r="P26">
        <f>+SUM(P6:P23)-P21-P18-P14</f>
        <v>0</v>
      </c>
      <c r="Q26">
        <f>+SUM(Q6:Q23)-Q21-Q18-Q14</f>
        <v>0</v>
      </c>
      <c r="R26">
        <f>+SUM(R6:R23)-R21-R18-R14</f>
        <v>0</v>
      </c>
      <c r="S26">
        <f>+SUM(S6:S23)-S21-S18-S14</f>
        <v>0</v>
      </c>
      <c r="T26">
        <f>+SUM(T6:T23)-T21-T18-T14</f>
        <v>0</v>
      </c>
      <c r="U26">
        <f>+SUM(U6:U23)-U21-U18-U14</f>
        <v>0</v>
      </c>
      <c r="V26">
        <f>+SUM(V6:V23)-V21-V18-V14</f>
        <v>0</v>
      </c>
      <c r="W26">
        <f>+SUM(W6:W23)-W21-W18-W14</f>
        <v>0</v>
      </c>
      <c r="X26">
        <f>+SUM(X6:X23)-X21-X18-X14</f>
        <v>0</v>
      </c>
      <c r="Y26">
        <f>+SUM(Y6:Y23)-Y21-Y18-Y14</f>
        <v>0</v>
      </c>
      <c r="Z26">
        <f>+SUM(Z6:Z23)-Z21-Z18-Z14</f>
        <v>0</v>
      </c>
      <c r="AA26">
        <f>+SUM(AA6:AA23)-AA21-AA18-AA14</f>
        <v>0</v>
      </c>
      <c r="AB26">
        <f>+SUM(AB6:AB23)-AB21-AB18-AB14</f>
        <v>0</v>
      </c>
      <c r="AC26">
        <f>+SUM(AC6:AC23)-AC21-AC18-AC14</f>
        <v>0</v>
      </c>
      <c r="AD26">
        <f>+SUM(AD6:AD23)-AD21-AD18-AD14</f>
        <v>0</v>
      </c>
      <c r="AE26">
        <f>+SUM(AE6:AE23)-AE21-AE18-AE14</f>
        <v>0</v>
      </c>
      <c r="AF26">
        <f>+SUM(AF6:AF23)-AF21-AF18-AF14</f>
        <v>0</v>
      </c>
      <c r="AG26">
        <f>+SUM(AG6:AG23)-AG21-AG18-AG14</f>
        <v>0</v>
      </c>
      <c r="AH26">
        <f>+SUM(AH6:AH23)-AH21-AH18-AH14</f>
        <v>0</v>
      </c>
      <c r="AI26">
        <f>+SUM(AI6:AI23)-AI21-AI18-AI14</f>
        <v>0</v>
      </c>
      <c r="AJ26">
        <f>+SUM(AJ6:AJ23)-AJ21-AJ18-AJ14</f>
        <v>0</v>
      </c>
      <c r="AK26">
        <f>+SUM(AK6:AK23)-AK21-AK18-AK14</f>
        <v>0</v>
      </c>
      <c r="AL26">
        <f>+SUM(AL6:AL23)-AL21-AL18-AL14</f>
        <v>0</v>
      </c>
      <c r="AM26">
        <f>+SUM(AM6:AM23)-AM21-AM18-AM14</f>
        <v>0</v>
      </c>
      <c r="AN26">
        <f>+SUM(AN6:AN23)-AN21-AN18-AN14</f>
        <v>0</v>
      </c>
      <c r="AO26">
        <f>+SUM(AO6:AO23)-AO21-AO18-AO14</f>
        <v>0</v>
      </c>
      <c r="AP26">
        <f>+SUM(AP6:AP23)-AP21-AP18-AP14</f>
        <v>0</v>
      </c>
      <c r="AQ26">
        <f>+SUM(AQ6:AQ23)-AQ21-AQ18-AQ14</f>
        <v>0</v>
      </c>
      <c r="AR26">
        <f>+SUM(AR6:AR23)-AR21-AR18-AR14</f>
        <v>0</v>
      </c>
      <c r="AS26">
        <f>+SUM(AS6:AS23)-AS21-AS18-AS14</f>
        <v>0</v>
      </c>
      <c r="AT26">
        <f>+SUM(AT6:AT23)-AT21-AT18-AT14</f>
        <v>0</v>
      </c>
      <c r="AU26">
        <f>+SUM(AU6:AU23)-AU21-AU18-AU14</f>
        <v>0</v>
      </c>
      <c r="AV26">
        <f>+SUM(AV6:AV23)-AV21-AV18-AV14</f>
        <v>0</v>
      </c>
      <c r="AW26">
        <f>+SUM(AW6:AW23)-AW21-AW18-AW14</f>
        <v>0</v>
      </c>
      <c r="AX26">
        <f>+SUM(AX6:AX23)-AX21-AX18-AX14</f>
        <v>0</v>
      </c>
      <c r="AY26">
        <f>+SUM(AY6:AY23)-AY21-AY18-AY14</f>
        <v>0</v>
      </c>
      <c r="AZ26">
        <f>+SUM(AZ6:AZ23)-AZ21-AZ18-AZ14</f>
        <v>0</v>
      </c>
      <c r="BA26">
        <f>+SUM(BA6:BA23)-BA21-BA18-BA14</f>
        <v>0</v>
      </c>
      <c r="BB26">
        <f>+SUM(BB6:BB23)-BB21-BB18-BB14</f>
        <v>0</v>
      </c>
      <c r="BC26">
        <f>+SUM(BC6:BC23)-BC21-BC18-BC14</f>
        <v>0</v>
      </c>
      <c r="BD26">
        <f>+SUM(BD6:BD23)-BD21-BD18-BD14</f>
        <v>0</v>
      </c>
      <c r="BE26">
        <f>+SUM(BE6:BE23)-BE21-BE18-BE14</f>
        <v>0</v>
      </c>
      <c r="BF26">
        <f>+SUM(BF6:BF23)-BF21-BF18-BF14</f>
        <v>0</v>
      </c>
      <c r="BG26">
        <f>+SUM(BG6:BG23)-BG21-BG18-BG14</f>
        <v>0</v>
      </c>
      <c r="BH26">
        <f>+SUM(BH6:BH23)-BH21-BH18-BH14</f>
        <v>0</v>
      </c>
      <c r="BI26">
        <f>+SUM(BI6:BI23)-BI21-BI18-BI14</f>
        <v>0</v>
      </c>
      <c r="BJ26">
        <f>+SUM(BJ6:BJ23)-BJ21-BJ18-BJ14</f>
        <v>0</v>
      </c>
      <c r="BK26">
        <f>+SUM(BK6:BK23)-BK21-BK18-BK14</f>
        <v>0</v>
      </c>
      <c r="BL26">
        <f>+SUM(BL6:BL23)-BL21-BL18-BL14</f>
        <v>0</v>
      </c>
      <c r="BM26">
        <f>+SUM(BM6:BM23)-BM21-BM18-BM14</f>
        <v>0</v>
      </c>
      <c r="BN26">
        <f>+SUM(BN6:BN23)-BN21-BN18-BN14</f>
        <v>0</v>
      </c>
      <c r="BO26">
        <f>+SUM(BO6:BO23)-BO21-BO18-BO14</f>
        <v>0</v>
      </c>
      <c r="BP26">
        <f>+SUM(BP6:BP23)-BP21-BP18-BP14</f>
        <v>0</v>
      </c>
      <c r="BQ26">
        <f>+SUM(BQ6:BQ23)-BQ21-BQ18-BQ14</f>
        <v>0</v>
      </c>
      <c r="BR26">
        <f>+SUM(BR6:BR23)-BR21-BR18-BR14</f>
        <v>0</v>
      </c>
      <c r="BS26">
        <f>+SUM(BS6:BS23)-BS21-BS18-BS14</f>
        <v>0</v>
      </c>
      <c r="BT26">
        <f>+SUM(BT6:BT23)-BT21-BT18-BT14</f>
        <v>0</v>
      </c>
      <c r="BU26">
        <f>+SUM(BU6:BU23)-BU21-BU18-BU14</f>
        <v>0</v>
      </c>
      <c r="BV26">
        <f>+SUM(BV6:BV23)-BV21-BV18-BV14</f>
        <v>0</v>
      </c>
      <c r="BW26">
        <f>+SUM(BW6:BW23)-BW21-BW18-BW14</f>
        <v>0</v>
      </c>
      <c r="BX26">
        <f>+SUM(BX6:BX23)-BX21-BX18-BX14</f>
        <v>0</v>
      </c>
      <c r="BY26">
        <f>+SUM(BY6:BY23)-BY21-BY18-BY14</f>
        <v>0</v>
      </c>
      <c r="BZ26">
        <f>+SUM(BZ6:BZ23)-BZ21-BZ18-BZ14</f>
        <v>0</v>
      </c>
      <c r="CA26">
        <f>+SUM(CA6:CA23)-CA21-CA18-CA14</f>
        <v>0</v>
      </c>
      <c r="CB26">
        <f>+SUM(CB6:CB23)-CB21-CB18-CB14</f>
        <v>0</v>
      </c>
      <c r="CC26">
        <f>+SUM(CC6:CC23)-CC21-CC18-CC14</f>
        <v>0</v>
      </c>
      <c r="CD26">
        <f>+SUM(CD6:CD23)-CD21-CD18-CD14</f>
        <v>0</v>
      </c>
      <c r="CE26">
        <f>+SUM(CE6:CE23)-CE21-CE18-CE14</f>
        <v>0</v>
      </c>
      <c r="CF26">
        <f>+SUM(CF6:CF23)-CF21-CF18-CF14</f>
        <v>0</v>
      </c>
      <c r="CG26">
        <f>+SUM(CG6:CG23)-CG21-CG18-CG14</f>
        <v>0</v>
      </c>
      <c r="CH26">
        <f>+SUM(CH6:CH23)-CH21-CH18-CH14</f>
        <v>0</v>
      </c>
      <c r="CI26">
        <f>+SUM(CI6:CI23)-CI21-CI18-CI14</f>
        <v>0</v>
      </c>
      <c r="CJ26">
        <f>+SUM(CJ6:CJ23)-CJ21-CJ18-CJ14</f>
        <v>0</v>
      </c>
      <c r="CK26">
        <f>+SUM(CK6:CK23)-CK21-CK18-CK14</f>
        <v>0</v>
      </c>
      <c r="CL26">
        <f>+SUM(CL6:CL23)-CL21-CL18-CL14</f>
        <v>0</v>
      </c>
      <c r="CM26">
        <f>+SUM(CM6:CM23)-CM21-CM18-CM14</f>
        <v>0</v>
      </c>
      <c r="CN26">
        <f>+SUM(CN6:CN23)-CN21-CN18-CN14</f>
        <v>0</v>
      </c>
      <c r="CO26">
        <f>+SUM(CO6:CO23)-CO21-CO18-CO14</f>
        <v>0</v>
      </c>
      <c r="CP26">
        <f>+SUM(CP6:CP23)-CP21-CP18-CP14</f>
        <v>0</v>
      </c>
    </row>
  </sheetData>
  <mergeCells count="66">
    <mergeCell ref="BP3:BR3"/>
    <mergeCell ref="BP4:BR4"/>
    <mergeCell ref="BS3:BU3"/>
    <mergeCell ref="BS4:BU4"/>
    <mergeCell ref="BV3:BX3"/>
    <mergeCell ref="BV4:BX4"/>
    <mergeCell ref="CN3:CP3"/>
    <mergeCell ref="CN4:CP4"/>
    <mergeCell ref="BY3:CA3"/>
    <mergeCell ref="BY4:CA4"/>
    <mergeCell ref="CB3:CD3"/>
    <mergeCell ref="CB4:CD4"/>
    <mergeCell ref="CE3:CG3"/>
    <mergeCell ref="CE4:CG4"/>
    <mergeCell ref="CH3:CJ3"/>
    <mergeCell ref="CH4:CJ4"/>
    <mergeCell ref="CK3:CM3"/>
    <mergeCell ref="CK4:CM4"/>
    <mergeCell ref="BM4:BO4"/>
    <mergeCell ref="AX3:AZ3"/>
    <mergeCell ref="AX4:AZ4"/>
    <mergeCell ref="BA3:BC3"/>
    <mergeCell ref="BA4:BC4"/>
    <mergeCell ref="BD3:BF3"/>
    <mergeCell ref="BD4:BF4"/>
    <mergeCell ref="BG3:BI3"/>
    <mergeCell ref="BG4:BI4"/>
    <mergeCell ref="BJ3:BL3"/>
    <mergeCell ref="BJ4:BL4"/>
    <mergeCell ref="BM3:BO3"/>
    <mergeCell ref="AR3:AT3"/>
    <mergeCell ref="AU3:AW3"/>
    <mergeCell ref="AC4:AE4"/>
    <mergeCell ref="AF4:AH4"/>
    <mergeCell ref="AI4:AK4"/>
    <mergeCell ref="AL4:AN4"/>
    <mergeCell ref="AO4:AQ4"/>
    <mergeCell ref="AR4:AT4"/>
    <mergeCell ref="AU4:AW4"/>
    <mergeCell ref="AC3:AE3"/>
    <mergeCell ref="AF3:AH3"/>
    <mergeCell ref="AI3:AK3"/>
    <mergeCell ref="AL3:AN3"/>
    <mergeCell ref="AO3:AQ3"/>
    <mergeCell ref="T3:V3"/>
    <mergeCell ref="T4:V4"/>
    <mergeCell ref="W3:Y3"/>
    <mergeCell ref="W4:Y4"/>
    <mergeCell ref="Z3:AB3"/>
    <mergeCell ref="Z4:AB4"/>
    <mergeCell ref="A1:S1"/>
    <mergeCell ref="A2:C2"/>
    <mergeCell ref="D2:G2"/>
    <mergeCell ref="H2:O2"/>
    <mergeCell ref="A24:M24"/>
    <mergeCell ref="Q3:S3"/>
    <mergeCell ref="H4:J4"/>
    <mergeCell ref="K4:M4"/>
    <mergeCell ref="N4:P4"/>
    <mergeCell ref="Q4:S4"/>
    <mergeCell ref="A3:C4"/>
    <mergeCell ref="H3:J3"/>
    <mergeCell ref="N3:P3"/>
    <mergeCell ref="K3:M3"/>
    <mergeCell ref="E3:G3"/>
    <mergeCell ref="E4:G4"/>
  </mergeCells>
  <pageMargins left="0.7" right="0.7" top="0.75" bottom="0.75" header="0.3" footer="0.3"/>
  <ignoredErrors>
    <ignoredError numberStoredAsText="1" sqref="A1:CP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:J206"/>
  <sheetViews>
    <sheetView workbookViewId="0" rightToLeft="0"/>
  </sheetViews>
  <sheetData>
    <row r="2">
      <c r="A2" t="str">
        <v>Plan start date</v>
      </c>
      <c r="B2">
        <v>46266</v>
      </c>
    </row>
    <row r="4">
      <c r="A4" t="str">
        <v>Work Center</v>
      </c>
      <c r="B4" t="str">
        <v>Operation Short Text</v>
      </c>
      <c r="C4" t="str">
        <v>Sort Field</v>
      </c>
      <c r="D4" t="str">
        <v>Scope</v>
      </c>
      <c r="E4" t="str">
        <v>Earliest Finish date</v>
      </c>
      <c r="F4" t="str">
        <v>Actual Start Dtae</v>
      </c>
      <c r="G4" t="str">
        <v>Acutal Finish Date</v>
      </c>
      <c r="H4" t="str">
        <v>Remarks</v>
      </c>
      <c r="I4" t="str">
        <v>Sum of Plan Hrs (Mech)</v>
      </c>
      <c r="J4" t="str">
        <v>Sum of Actual Hrs</v>
      </c>
    </row>
    <row r="5">
      <c r="A5" t="str">
        <v>APSTT1</v>
      </c>
      <c r="B5" t="str">
        <v>JSA prep.</v>
      </c>
      <c r="C5" t="str">
        <v>A20-PSV-569B</v>
      </c>
      <c r="D5" t="str">
        <v>OQ</v>
      </c>
      <c r="E5">
        <v>46266</v>
      </c>
      <c r="F5" t="str">
        <v>(blank)</v>
      </c>
      <c r="G5" t="str">
        <v>(blank)</v>
      </c>
      <c r="H5" t="str">
        <v>(blank)</v>
      </c>
      <c r="I5">
        <v>0.1</v>
      </c>
    </row>
    <row r="6">
      <c r="B6" t="str">
        <v>3 Weekly Vent Silencer Cleaning</v>
      </c>
      <c r="C6" t="str">
        <v>X-A9902C</v>
      </c>
      <c r="D6" t="str">
        <v>Descon</v>
      </c>
      <c r="E6">
        <v>46266</v>
      </c>
      <c r="F6">
        <v>46266</v>
      </c>
      <c r="G6">
        <v>46266</v>
      </c>
      <c r="H6" t="str">
        <v>Completed</v>
      </c>
      <c r="I6">
        <v>9</v>
      </c>
      <c r="J6">
        <v>8</v>
      </c>
    </row>
    <row r="7">
      <c r="B7" t="str">
        <v>JSA@Blind/De-blind foam chamber testing</v>
      </c>
      <c r="C7" t="str">
        <v>T-A9103</v>
      </c>
      <c r="D7" t="str">
        <v>OQ</v>
      </c>
      <c r="E7">
        <v>46266</v>
      </c>
      <c r="F7" t="str">
        <v>(blank)</v>
      </c>
      <c r="G7" t="str">
        <v>(blank)</v>
      </c>
      <c r="H7" t="str">
        <v>(blank)</v>
      </c>
      <c r="I7">
        <v>0.1</v>
      </c>
    </row>
    <row r="8">
      <c r="B8" t="str">
        <v>6 Weekly Pre/After Filter Cleaning</v>
      </c>
      <c r="C8" t="str">
        <v>X-A9902C</v>
      </c>
      <c r="D8" t="str">
        <v>Descon</v>
      </c>
      <c r="E8">
        <v>46266</v>
      </c>
      <c r="F8">
        <v>46266</v>
      </c>
      <c r="G8">
        <v>46266</v>
      </c>
      <c r="H8" t="str">
        <v>Completed. Filter was removed, inspected, and found in satisfactory clean condition.</v>
      </c>
      <c r="I8">
        <v>12</v>
      </c>
      <c r="J8">
        <v>9</v>
      </c>
    </row>
    <row r="9">
      <c r="B9" t="str">
        <v>JSA prep</v>
      </c>
      <c r="C9" t="str">
        <v>A40-PSV-001D</v>
      </c>
      <c r="D9" t="str">
        <v>OQ</v>
      </c>
      <c r="E9">
        <v>46266</v>
      </c>
      <c r="F9" t="str">
        <v>(blank)</v>
      </c>
      <c r="G9" t="str">
        <v>(blank)</v>
      </c>
      <c r="H9" t="str">
        <v>(blank)</v>
      </c>
      <c r="I9">
        <v>0.1</v>
      </c>
    </row>
    <row r="10">
      <c r="B10" t="str">
        <v>Deblinding for agitator  (1"Class150)</v>
      </c>
      <c r="C10" t="str">
        <v>X-A1102-A01</v>
      </c>
      <c r="D10" t="str">
        <v>Descon</v>
      </c>
      <c r="E10">
        <v>46266</v>
      </c>
      <c r="F10">
        <v>46266</v>
      </c>
      <c r="G10">
        <v>46266</v>
      </c>
      <c r="H10" t="str">
        <v>Completed</v>
      </c>
      <c r="I10">
        <v>1.4</v>
      </c>
      <c r="J10">
        <v>2</v>
      </c>
    </row>
    <row r="11">
      <c r="B11" t="str">
        <v>Deblinding for agitator (1-1/2"Class150)</v>
      </c>
      <c r="C11" t="str">
        <v>X-A1102-A01</v>
      </c>
      <c r="D11" t="str">
        <v>Descon</v>
      </c>
      <c r="E11">
        <v>46266</v>
      </c>
      <c r="F11">
        <v>46266</v>
      </c>
      <c r="G11">
        <v>46266</v>
      </c>
      <c r="H11" t="str">
        <v>Completed</v>
      </c>
      <c r="I11">
        <v>1.6</v>
      </c>
      <c r="J11">
        <v>0</v>
      </c>
    </row>
    <row r="12">
      <c r="B12" t="str">
        <v>Deblinding for agitator (4"Class150)</v>
      </c>
      <c r="C12" t="str">
        <v>X-A1102-A01</v>
      </c>
      <c r="D12" t="str">
        <v>Descon</v>
      </c>
      <c r="E12">
        <v>46266</v>
      </c>
      <c r="F12">
        <v>46266</v>
      </c>
      <c r="G12">
        <v>46266</v>
      </c>
      <c r="H12" t="str">
        <v>Completed</v>
      </c>
      <c r="I12">
        <v>2</v>
      </c>
      <c r="J12">
        <v>2</v>
      </c>
    </row>
    <row r="13">
      <c r="B13" t="str">
        <v>Deblinding for agitator (6"Class150)</v>
      </c>
      <c r="C13" t="str">
        <v>X-A1102-A01</v>
      </c>
      <c r="D13" t="str">
        <v>Descon</v>
      </c>
      <c r="E13">
        <v>46266</v>
      </c>
      <c r="F13">
        <v>46266</v>
      </c>
      <c r="G13">
        <v>46266</v>
      </c>
      <c r="H13" t="str">
        <v>Completed</v>
      </c>
      <c r="I13">
        <v>2.4</v>
      </c>
      <c r="J13">
        <v>3</v>
      </c>
    </row>
    <row r="14">
      <c r="B14" t="str">
        <v>Deblind/blind as operation  (2"Class300)</v>
      </c>
      <c r="C14" t="str">
        <v>V-A2008A</v>
      </c>
      <c r="D14" t="str">
        <v>Descon</v>
      </c>
      <c r="E14">
        <v>46266</v>
      </c>
      <c r="F14">
        <v>46266</v>
      </c>
      <c r="G14">
        <v>46266</v>
      </c>
      <c r="H14" t="str">
        <v>Completed</v>
      </c>
      <c r="J14">
        <v>8</v>
      </c>
    </row>
    <row r="15">
      <c r="B15" t="str">
        <v>V-A2008A Adsorbent replacement</v>
      </c>
      <c r="C15" t="str">
        <v>V-A2008A</v>
      </c>
      <c r="D15" t="str">
        <v>OQ Other Contractor</v>
      </c>
      <c r="E15">
        <v>46266</v>
      </c>
      <c r="F15" t="str">
        <v>(blank)</v>
      </c>
      <c r="G15" t="str">
        <v>(blank)</v>
      </c>
      <c r="H15" t="str">
        <v>(blank)</v>
      </c>
      <c r="I15">
        <v>0.1</v>
      </c>
    </row>
    <row r="16">
      <c r="B16" t="str">
        <v>F-A3001 bnr #50 FG leak(union), attend</v>
      </c>
      <c r="C16" t="str">
        <v>F-A3001</v>
      </c>
      <c r="D16" t="str">
        <v>Descon</v>
      </c>
      <c r="E16">
        <v>46266</v>
      </c>
      <c r="F16" t="str">
        <v>(blank)</v>
      </c>
      <c r="G16" t="str">
        <v>(blank)</v>
      </c>
      <c r="H16" t="str">
        <v>Job could not be attended as the team was reassigned to a Priority-1 blinding activity for V-A2008, which was not included in today's plan.</v>
      </c>
      <c r="I16">
        <v>2</v>
      </c>
    </row>
    <row r="17">
      <c r="B17" t="str">
        <v>Fix back RV (Size0.5"150# RF)</v>
      </c>
      <c r="C17" t="str">
        <v>A31-PSV-715CX</v>
      </c>
      <c r="D17" t="str">
        <v>Descon</v>
      </c>
      <c r="E17">
        <v>46266</v>
      </c>
      <c r="F17">
        <v>46266</v>
      </c>
      <c r="G17">
        <v>46266</v>
      </c>
      <c r="H17" t="str">
        <v>Completed</v>
      </c>
      <c r="I17">
        <v>2</v>
      </c>
      <c r="J17">
        <v>2</v>
      </c>
    </row>
    <row r="18">
      <c r="B18" t="str">
        <v>Fix back RV (Size0.75"150# RF)</v>
      </c>
      <c r="C18" t="str">
        <v>A31-PSV-027C</v>
      </c>
      <c r="D18" t="str">
        <v>Descon</v>
      </c>
      <c r="E18">
        <v>46266</v>
      </c>
      <c r="F18">
        <v>46266</v>
      </c>
      <c r="G18">
        <v>46266</v>
      </c>
      <c r="H18" t="str">
        <v>Completed</v>
      </c>
      <c r="I18">
        <v>2</v>
      </c>
      <c r="J18">
        <v>2</v>
      </c>
    </row>
    <row r="19">
      <c r="B19" t="str">
        <v>Heater Blinding br#50</v>
      </c>
      <c r="C19" t="str">
        <v>F-A3001</v>
      </c>
      <c r="D19" t="str">
        <v>Descon</v>
      </c>
      <c r="E19">
        <v>46266</v>
      </c>
      <c r="F19" t="str">
        <v>(blank)</v>
      </c>
      <c r="G19" t="str">
        <v>(blank)</v>
      </c>
      <c r="H19" t="str">
        <v>Job could not be attended as the team was reassigned to a Priority-1 blinding activity for V-A2008, which was not included in today's plan.</v>
      </c>
      <c r="I19">
        <v>1</v>
      </c>
    </row>
    <row r="20">
      <c r="B20" t="str">
        <v>Heater Deblinding br#50</v>
      </c>
      <c r="C20" t="str">
        <v>F-A3001</v>
      </c>
      <c r="D20" t="str">
        <v>Descon</v>
      </c>
      <c r="E20">
        <v>46266</v>
      </c>
      <c r="F20" t="str">
        <v>(blank)</v>
      </c>
      <c r="G20" t="str">
        <v>(blank)</v>
      </c>
      <c r="H20" t="str">
        <v>Job could not be attended as the team was reassigned to a Priority-1 blinding activity for V-A2008, which was not included in today's plan.</v>
      </c>
      <c r="I20">
        <v>1</v>
      </c>
    </row>
    <row r="21">
      <c r="B21" t="str">
        <v>P-A3111A disch I/V hard to operate,recti</v>
      </c>
      <c r="C21" t="str">
        <v>P-A3111A</v>
      </c>
      <c r="D21" t="str">
        <v>Descon</v>
      </c>
      <c r="E21">
        <v>46266</v>
      </c>
      <c r="F21">
        <v>46266</v>
      </c>
      <c r="G21">
        <v>46266</v>
      </c>
      <c r="H21" t="str">
        <v>Completed</v>
      </c>
      <c r="I21">
        <v>9</v>
      </c>
      <c r="J21">
        <v>4</v>
      </c>
    </row>
    <row r="22">
      <c r="B22" t="str">
        <v>Pre activty FoamChamber#3 test/readiness</v>
      </c>
      <c r="C22" t="str">
        <v>T-A9102</v>
      </c>
      <c r="D22" t="str">
        <v>Descon</v>
      </c>
      <c r="E22">
        <v>46266</v>
      </c>
      <c r="F22">
        <v>46266</v>
      </c>
      <c r="G22">
        <v>46266</v>
      </c>
      <c r="H22" t="str">
        <v>Completed</v>
      </c>
      <c r="I22">
        <v>8</v>
      </c>
      <c r="J22">
        <v>4</v>
      </c>
    </row>
    <row r="23">
      <c r="B23" t="str">
        <v>Pullout drain Isolation Valve1/2" bonnet</v>
      </c>
      <c r="C23" t="str">
        <v>A50-APK-108</v>
      </c>
      <c r="D23" t="str">
        <v>Descon</v>
      </c>
      <c r="E23">
        <v>46266</v>
      </c>
      <c r="F23">
        <v>46266</v>
      </c>
      <c r="G23">
        <v>46266</v>
      </c>
      <c r="H23" t="str">
        <v>Completed</v>
      </c>
      <c r="I23">
        <v>1</v>
      </c>
      <c r="J23">
        <v>1</v>
      </c>
    </row>
    <row r="24">
      <c r="B24" t="str">
        <v>Pullout RV Passing (Size0.5"MNPT)</v>
      </c>
      <c r="C24" t="str">
        <v>A12-PSV-604B</v>
      </c>
      <c r="D24" t="str">
        <v>Descon</v>
      </c>
      <c r="E24">
        <v>46266</v>
      </c>
      <c r="F24">
        <v>46266</v>
      </c>
      <c r="G24">
        <v>46266</v>
      </c>
      <c r="H24" t="str">
        <v>Completed</v>
      </c>
      <c r="I24">
        <v>2</v>
      </c>
      <c r="J24">
        <v>2</v>
      </c>
    </row>
    <row r="25">
      <c r="B25" t="str">
        <v>Pullout steamtrap 3/4" ST-A30123@F-A3001</v>
      </c>
      <c r="C25" t="str">
        <v>AR-AREA4 REC GENERAL U-3000</v>
      </c>
      <c r="D25" t="str">
        <v>Descon</v>
      </c>
      <c r="E25">
        <v>46266</v>
      </c>
      <c r="F25" t="str">
        <v>(blank)</v>
      </c>
      <c r="G25" t="str">
        <v>(blank)</v>
      </c>
      <c r="H25" t="str">
        <v>Job could not be attended as the available man-hours were fully utilized.</v>
      </c>
      <c r="I25">
        <v>1.4</v>
      </c>
    </row>
    <row r="26">
      <c r="B26" t="str">
        <v>Removal,cleaning&amp;install br#50</v>
      </c>
      <c r="C26" t="str">
        <v>F-A3001</v>
      </c>
      <c r="D26" t="str">
        <v>Descon</v>
      </c>
      <c r="E26">
        <v>46266</v>
      </c>
      <c r="F26" t="str">
        <v>(blank)</v>
      </c>
      <c r="G26" t="str">
        <v>(blank)</v>
      </c>
      <c r="H26" t="str">
        <v>Job could not be attended as the team was reassigned to a Priority-1 blinding activity for V-A2008, which was not included in today's plan.</v>
      </c>
      <c r="I26">
        <v>6</v>
      </c>
    </row>
    <row r="27">
      <c r="B27" t="str">
        <v>replace bonnet drain Isolation Valve1/2"</v>
      </c>
      <c r="C27" t="str">
        <v>A50-APK-108</v>
      </c>
      <c r="D27" t="str">
        <v>Descon</v>
      </c>
      <c r="E27">
        <v>46266</v>
      </c>
      <c r="F27">
        <v>46266</v>
      </c>
      <c r="G27">
        <v>46266</v>
      </c>
      <c r="H27" t="str">
        <v>Completed</v>
      </c>
      <c r="I27">
        <v>1</v>
      </c>
      <c r="J27">
        <v>1</v>
      </c>
    </row>
    <row r="28">
      <c r="B28" t="str">
        <v>Replace steamtrap 3/4"ST-A30123@F-A3001</v>
      </c>
      <c r="C28" t="str">
        <v>AR-AREA4 REC GENERAL U-3000</v>
      </c>
      <c r="D28" t="str">
        <v>Descon</v>
      </c>
      <c r="E28">
        <v>46266</v>
      </c>
      <c r="F28" t="str">
        <v>(blank)</v>
      </c>
      <c r="G28" t="str">
        <v>(blank)</v>
      </c>
      <c r="H28" t="str">
        <v>Job could not be attended as the available man-hours were fully utilized.</v>
      </c>
      <c r="I28">
        <v>1.4</v>
      </c>
    </row>
  </sheetData>
  <pageMargins left="0.7" right="0.7" top="0.75" bottom="0.75" header="0.3" footer="0.3"/>
  <ignoredErrors>
    <ignoredError numberStoredAsText="1" sqref="A2:J20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t="str">
        <v>Sr.#</v>
      </c>
      <c r="B1" t="str">
        <v>Score %</v>
      </c>
      <c r="C1" t="str">
        <v>Description</v>
      </c>
      <c r="D1" t="str">
        <v>Target</v>
      </c>
      <c r="E1" t="str">
        <v>Recorded</v>
      </c>
      <c r="F1" t="str">
        <v>Complaince</v>
      </c>
      <c r="G1" t="str">
        <v>Non-Complaince</v>
      </c>
      <c r="H1" t="str">
        <v>Achived Score %age</v>
      </c>
      <c r="I1" t="str">
        <v>Remarks</v>
      </c>
    </row>
    <row r="2">
      <c r="A2">
        <v>1</v>
      </c>
      <c r="B2">
        <v>0.15</v>
      </c>
      <c r="C2" t="str">
        <v>Lost Time Injury</v>
      </c>
      <c r="D2">
        <v>0</v>
      </c>
      <c r="E2">
        <v>0</v>
      </c>
      <c r="F2">
        <v>1</v>
      </c>
      <c r="G2">
        <v>0</v>
      </c>
      <c r="H2">
        <f>+F2*B2</f>
        <v>0.15</v>
      </c>
      <c r="I2" t="str">
        <v>(0 LTI) = 15% (LTI &gt; 0) = 0%</v>
      </c>
    </row>
    <row r="3">
      <c r="A3">
        <f>+A2+1</f>
        <v>2</v>
      </c>
      <c r="B3">
        <v>0.1</v>
      </c>
      <c r="C3" t="str">
        <v>Total Recordable Injury Frequency</v>
      </c>
      <c r="D3">
        <v>0</v>
      </c>
      <c r="E3">
        <v>0</v>
      </c>
      <c r="F3">
        <v>1</v>
      </c>
      <c r="G3">
        <v>0</v>
      </c>
      <c r="H3">
        <f>+F3*B3</f>
        <v>0.1</v>
      </c>
      <c r="I3" t="str">
        <v>(TRIF =&lt; 0.5) = 10% (TRIF &gt; 0.5) = 0% (TRIF &gt;1.0) = -5%</v>
      </c>
    </row>
    <row r="4">
      <c r="A4">
        <f>+A3+1</f>
        <v>3</v>
      </c>
      <c r="B4">
        <v>0.15</v>
      </c>
      <c r="C4" t="str">
        <v>PTW compliance</v>
      </c>
      <c r="D4">
        <v>0</v>
      </c>
      <c r="E4">
        <v>0</v>
      </c>
      <c r="F4">
        <v>1</v>
      </c>
      <c r="G4">
        <v>0</v>
      </c>
      <c r="H4">
        <f>+F4*B4</f>
        <v>0.15</v>
      </c>
      <c r="I4" t="str">
        <v>(Compliance &gt; = 90%) = 15% (Compliance &gt; 85%) = 12% (Compliance &gt; 80%) = 8% (Compliance &lt; 80%) = 0%</v>
      </c>
    </row>
    <row r="5" xml:space="preserve">
      <c r="A5">
        <f>+A4+1</f>
        <v>4</v>
      </c>
      <c r="B5">
        <v>0.1</v>
      </c>
      <c r="C5" t="str">
        <v>LSR #4, 8, 12 violations</v>
      </c>
      <c r="D5">
        <v>0</v>
      </c>
      <c r="E5">
        <v>0</v>
      </c>
      <c r="F5">
        <v>1</v>
      </c>
      <c r="G5">
        <v>0</v>
      </c>
      <c r="H5">
        <f>+F5*B5</f>
        <v>0.1</v>
      </c>
      <c r="I5" t="str" xml:space="preserve">
        <v xml:space="preserve">(0 violation) = 10% (1 violation) = 8% (2 violation) = 5%_x000d_
(violation &gt; 2) = 0%</v>
      </c>
    </row>
    <row r="6">
      <c r="A6">
        <f>+A5+1</f>
        <v>5</v>
      </c>
      <c r="B6">
        <v>0.05</v>
      </c>
      <c r="C6" t="str">
        <v>Other LSRs compliance - 10 nos</v>
      </c>
      <c r="D6">
        <v>0</v>
      </c>
      <c r="E6">
        <v>0</v>
      </c>
      <c r="F6">
        <v>1</v>
      </c>
      <c r="G6">
        <v>0</v>
      </c>
      <c r="H6">
        <f>+F6*B6</f>
        <v>0.05</v>
      </c>
      <c r="I6" t="str">
        <v>(100% compliance) = 5% (compliance &gt;= 90%) = 3% (compliance &lt; 90%) = 0%</v>
      </c>
    </row>
    <row r="7">
      <c r="A7">
        <f>+A6+1</f>
        <v>6</v>
      </c>
      <c r="B7">
        <v>0.1</v>
      </c>
      <c r="C7" t="str">
        <v>LSR violations closeout = 100%</v>
      </c>
      <c r="D7">
        <v>0</v>
      </c>
      <c r="E7">
        <v>0</v>
      </c>
      <c r="F7">
        <v>1</v>
      </c>
      <c r="G7">
        <v>0</v>
      </c>
      <c r="H7">
        <f>+F7*B7</f>
        <v>0.1</v>
      </c>
      <c r="I7" t="str">
        <v>(100% closeout) = 10% (closeout &gt; 95%) = 6% (closeout &lt; 95%) = 0%</v>
      </c>
    </row>
    <row r="8" xml:space="preserve">
      <c r="A8">
        <f>+A7+1</f>
        <v>7</v>
      </c>
      <c r="B8">
        <v>0.1</v>
      </c>
      <c r="C8" t="str" xml:space="preserve">
        <v xml:space="preserve">Safety observations  CONTRACTORs - 5_x000d_
Nos/month</v>
      </c>
      <c r="D8">
        <v>5</v>
      </c>
      <c r="E8">
        <v>5</v>
      </c>
      <c r="F8">
        <v>1</v>
      </c>
      <c r="G8">
        <v>0</v>
      </c>
      <c r="H8">
        <f>+F8*B8</f>
        <v>0.1</v>
      </c>
      <c r="I8" t="str" xml:space="preserve">
        <v xml:space="preserve">(100% compliance) = 10% (compliance &gt;= 90%) = 6%_x000d_
(compliance &lt; 90%) = 0%</v>
      </c>
    </row>
    <row r="9" xml:space="preserve">
      <c r="A9">
        <f>+A8+1</f>
        <v>8</v>
      </c>
      <c r="B9">
        <v>0.1</v>
      </c>
      <c r="C9" t="str" xml:space="preserve">
        <v xml:space="preserve">Contractor’s Site leader-ship safety walk = 2/_x000d_
month</v>
      </c>
      <c r="D9">
        <v>2</v>
      </c>
      <c r="E9">
        <v>2</v>
      </c>
      <c r="F9">
        <v>1</v>
      </c>
      <c r="G9">
        <v>0</v>
      </c>
      <c r="H9">
        <f>+F9*B9</f>
        <v>0.1</v>
      </c>
      <c r="I9" t="str">
        <v>(2 safety walk) = 10% (safety walk &lt; 2) = 0%</v>
      </c>
    </row>
    <row r="10">
      <c r="A10">
        <f>+A9+1</f>
        <v>9</v>
      </c>
      <c r="B10">
        <v>0.05</v>
      </c>
      <c r="C10" t="str">
        <v>Vehicles incidents = 0</v>
      </c>
      <c r="D10">
        <v>0</v>
      </c>
      <c r="E10">
        <v>0</v>
      </c>
      <c r="F10">
        <v>1</v>
      </c>
      <c r="G10">
        <v>0</v>
      </c>
      <c r="H10">
        <f>+F10*B10</f>
        <v>0.05</v>
      </c>
      <c r="I10" t="str">
        <v>(0 Vehicles incident) = 5% (1 Vehicles incident) = 3% (Vehicles incident &gt; 1) = 0%</v>
      </c>
    </row>
    <row r="11">
      <c r="A11">
        <f>+A10+1</f>
        <v>10</v>
      </c>
      <c r="B11">
        <v>0.05</v>
      </c>
      <c r="C11" t="str">
        <v>Security violations = 0</v>
      </c>
      <c r="D11">
        <v>0</v>
      </c>
      <c r="E11">
        <v>0</v>
      </c>
      <c r="F11">
        <v>1</v>
      </c>
      <c r="G11">
        <v>0</v>
      </c>
      <c r="H11">
        <f>+F11*B11</f>
        <v>0.05</v>
      </c>
      <c r="I11" t="str">
        <v>(0 Security violation) = 5% (1 Security violation) = 3% (Security violation &gt; 1) = 0%</v>
      </c>
    </row>
    <row r="12" xml:space="preserve">
      <c r="A12">
        <f>+A11+1</f>
        <v>11</v>
      </c>
      <c r="B12">
        <v>0.05</v>
      </c>
      <c r="C12" t="str">
        <v>Oil/Chemical spill = 0</v>
      </c>
      <c r="D12">
        <v>0</v>
      </c>
      <c r="E12">
        <v>0</v>
      </c>
      <c r="F12">
        <v>1</v>
      </c>
      <c r="G12">
        <v>0</v>
      </c>
      <c r="H12">
        <f>+F12*B12</f>
        <v>0.05</v>
      </c>
      <c r="I12" t="str" xml:space="preserve">
        <v xml:space="preserve">(0 Oil/Chemical spill) = 5%_x000d_
(1 Oil/Chemical spill) = 3% (Oil/Chemical spill &gt; 1) = 0%</v>
      </c>
    </row>
    <row r="13">
      <c r="B13">
        <f>SUM(B2:B12)</f>
        <v>1</v>
      </c>
    </row>
  </sheetData>
  <pageMargins left="0.7" right="0.7" top="0.75" bottom="0.75" header="0.3" footer="0.3"/>
  <ignoredErrors>
    <ignoredError numberStoredAsText="1" sqref="A1:I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0:H40"/>
  <sheetViews>
    <sheetView workbookViewId="0" rightToLeft="0"/>
  </sheetViews>
  <sheetData>
    <row r="10">
      <c r="A10" t="str">
        <v>Row Labels</v>
      </c>
      <c r="B10" t="str">
        <v xml:space="preserve"> PM Plan</v>
      </c>
      <c r="C10" t="str">
        <v xml:space="preserve"> PM Actual</v>
      </c>
      <c r="D10" t="str">
        <v xml:space="preserve"> CM Plan</v>
      </c>
      <c r="E10" t="str">
        <v xml:space="preserve"> CM Actual</v>
      </c>
      <c r="G10" t="str">
        <v>PM %age</v>
      </c>
      <c r="H10" t="str">
        <v>CM %</v>
      </c>
    </row>
    <row r="11">
      <c r="A11">
        <v>46135</v>
      </c>
      <c r="B11">
        <v>22</v>
      </c>
      <c r="C11">
        <v>16</v>
      </c>
      <c r="D11">
        <v>7</v>
      </c>
      <c r="E11">
        <v>2</v>
      </c>
      <c r="G11">
        <f>+IFNA(C11/B11,"0")</f>
        <v>0.7272727272727273</v>
      </c>
      <c r="H11">
        <v>0</v>
      </c>
    </row>
    <row r="12">
      <c r="A12" t="str">
        <v>Grand Total</v>
      </c>
      <c r="B12">
        <v>22</v>
      </c>
      <c r="C12">
        <v>16</v>
      </c>
      <c r="D12">
        <v>7</v>
      </c>
      <c r="E12">
        <v>2</v>
      </c>
      <c r="G12">
        <f>+IFNA(C12/B12,"0")</f>
        <v>0.7272727272727273</v>
      </c>
      <c r="H12">
        <f>+IFNA(E12/D12,"0")</f>
        <v>0.2857142857142857</v>
      </c>
    </row>
    <row r="13">
      <c r="G13">
        <v>0</v>
      </c>
      <c r="H13">
        <v>0</v>
      </c>
    </row>
    <row r="14">
      <c r="G14">
        <v>0</v>
      </c>
      <c r="H14">
        <v>0</v>
      </c>
    </row>
    <row r="15">
      <c r="G15" t="e">
        <f>+IFNA(C15/B15,"0")</f>
        <v>#DIV/0!</v>
      </c>
      <c r="H15" t="e">
        <f>+IFNA(E15/D15,"0")</f>
        <v>#DIV/0!</v>
      </c>
    </row>
    <row r="16">
      <c r="G16" t="e">
        <f>+IFNA(C16/B16,"0")</f>
        <v>#DIV/0!</v>
      </c>
      <c r="H16" t="e">
        <f>+IFNA(E16/D16,"0")</f>
        <v>#DIV/0!</v>
      </c>
    </row>
    <row r="17">
      <c r="G17" t="e">
        <f>+IFNA(C17/B17,"0")</f>
        <v>#DIV/0!</v>
      </c>
      <c r="H17" t="e">
        <f>+IFNA(E17/D17,"0")</f>
        <v>#DIV/0!</v>
      </c>
    </row>
    <row r="18">
      <c r="G18" t="e">
        <f>+IFNA(C18/B18,"0")</f>
        <v>#DIV/0!</v>
      </c>
      <c r="H18" t="e">
        <f>+IFNA(E18/D18,"0")</f>
        <v>#DIV/0!</v>
      </c>
    </row>
    <row r="19">
      <c r="G19" t="e">
        <f>+IFNA(C19/B19,"0")</f>
        <v>#DIV/0!</v>
      </c>
      <c r="H19" t="e">
        <f>+IFNA(E19/D19,"0")</f>
        <v>#DIV/0!</v>
      </c>
    </row>
    <row r="20">
      <c r="G20">
        <v>0</v>
      </c>
      <c r="H20">
        <v>0</v>
      </c>
    </row>
    <row r="21">
      <c r="G21">
        <v>0</v>
      </c>
      <c r="H21">
        <v>0</v>
      </c>
    </row>
    <row r="22">
      <c r="G22" t="e">
        <f>+IFNA(C22/B22,"0")</f>
        <v>#DIV/0!</v>
      </c>
      <c r="H22" t="e">
        <f>+IFNA(E22/D22,"0")</f>
        <v>#DIV/0!</v>
      </c>
    </row>
    <row r="23">
      <c r="G23" t="e">
        <f>+IFNA(C23/B23,"0")</f>
        <v>#DIV/0!</v>
      </c>
      <c r="H23" t="e">
        <f>+IFNA(E23/D23,"0")</f>
        <v>#DIV/0!</v>
      </c>
    </row>
    <row r="24">
      <c r="G24" t="e">
        <f>+IFNA(C24/B24,"0")</f>
        <v>#DIV/0!</v>
      </c>
      <c r="H24" t="e">
        <f>+IFNA(E24/D24,"0")</f>
        <v>#DIV/0!</v>
      </c>
    </row>
    <row r="25">
      <c r="G25" t="e">
        <f>+IFNA(C25/B25,"0")</f>
        <v>#DIV/0!</v>
      </c>
      <c r="H25" t="e">
        <f>+IFNA(E25/D25,"0")</f>
        <v>#DIV/0!</v>
      </c>
    </row>
    <row r="26">
      <c r="G26" t="e">
        <f>+IFNA(C26/B26,"0")</f>
        <v>#DIV/0!</v>
      </c>
      <c r="H26" t="e">
        <f>+IFNA(E26/D26,"0")</f>
        <v>#DIV/0!</v>
      </c>
    </row>
    <row r="27">
      <c r="G27">
        <v>0</v>
      </c>
      <c r="H27">
        <v>0</v>
      </c>
    </row>
    <row r="28">
      <c r="G28">
        <v>0</v>
      </c>
      <c r="H28">
        <v>0</v>
      </c>
    </row>
    <row r="29">
      <c r="G29" t="e">
        <f>+IFNA(C29/B29,"0")</f>
        <v>#DIV/0!</v>
      </c>
      <c r="H29" t="e">
        <f>+IFNA(E29/D29,"0")</f>
        <v>#DIV/0!</v>
      </c>
    </row>
    <row r="30">
      <c r="G30" t="e">
        <f>+IFNA(C30/B30,"0")</f>
        <v>#DIV/0!</v>
      </c>
      <c r="H30" t="e">
        <f>+IFNA(E30/D30,"0")</f>
        <v>#DIV/0!</v>
      </c>
    </row>
    <row r="31">
      <c r="G31" t="e">
        <f>+IFNA(C31/B31,"0")</f>
        <v>#DIV/0!</v>
      </c>
      <c r="H31" t="e">
        <f>+IFNA(E31/D31,"0")</f>
        <v>#DIV/0!</v>
      </c>
    </row>
    <row r="32">
      <c r="G32" t="e">
        <f>+IFNA(C32/B32,"0")</f>
        <v>#DIV/0!</v>
      </c>
      <c r="H32" t="e">
        <f>+IFNA(E32/D32,"0")</f>
        <v>#DIV/0!</v>
      </c>
    </row>
    <row r="33">
      <c r="G33" t="e">
        <f>+IFNA(C33/B33,"0")</f>
        <v>#DIV/0!</v>
      </c>
      <c r="H33" t="e">
        <f>+IFNA(E33/D33,"0")</f>
        <v>#DIV/0!</v>
      </c>
    </row>
    <row r="34">
      <c r="G34" t="e">
        <f>+IFNA(C34/B34,"0")</f>
        <v>#DIV/0!</v>
      </c>
      <c r="H34" t="e">
        <f>+IFNA(E34/D34,"0")</f>
        <v>#DIV/0!</v>
      </c>
    </row>
    <row r="35">
      <c r="G35" t="e">
        <f>+IFNA(C35/B35,"0")</f>
        <v>#DIV/0!</v>
      </c>
      <c r="H35" t="e">
        <f>+IFNA(E35/D35,"0")</f>
        <v>#DIV/0!</v>
      </c>
    </row>
    <row r="36">
      <c r="G36" t="e">
        <f>+IFNA(C36/B36,"0")</f>
        <v>#DIV/0!</v>
      </c>
      <c r="H36" t="e">
        <f>+IFNA(E36/D36,"0")</f>
        <v>#DIV/0!</v>
      </c>
    </row>
    <row r="37">
      <c r="G37" t="e">
        <f>+IFNA(C37/B37,"0")</f>
        <v>#DIV/0!</v>
      </c>
      <c r="H37" t="e">
        <f>+IFNA(E37/D37,"0")</f>
        <v>#DIV/0!</v>
      </c>
    </row>
    <row r="38">
      <c r="G38" t="e">
        <f>+IFNA(C38/B38,"0")</f>
        <v>#DIV/0!</v>
      </c>
      <c r="H38" t="e">
        <f>+IFNA(E38/D38,"0")</f>
        <v>#DIV/0!</v>
      </c>
    </row>
    <row r="39">
      <c r="G39" t="e">
        <f>+IFNA(C39/B39,"0")</f>
        <v>#DIV/0!</v>
      </c>
      <c r="H39" t="e">
        <f>+IFNA(E39/D39,"0")</f>
        <v>#DIV/0!</v>
      </c>
    </row>
    <row r="40">
      <c r="G40" t="e">
        <f>+IFNA(C40/B40,"0")</f>
        <v>#DIV/0!</v>
      </c>
      <c r="H40" t="e">
        <f>+IFNA(E40/D40,"0")</f>
        <v>#DIV/0!</v>
      </c>
    </row>
  </sheetData>
  <pageMargins left="0.7" right="0.7" top="0.75" bottom="0.75" header="0.3" footer="0.3"/>
  <ignoredErrors>
    <ignoredError numberStoredAsText="1" sqref="A10:H4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H74"/>
  <sheetViews>
    <sheetView workbookViewId="0" rightToLeft="0"/>
  </sheetViews>
  <sheetData>
    <row r="1">
      <c r="A1" t="str">
        <v>Item</v>
      </c>
      <c r="B1" t="str">
        <v>Planned</v>
      </c>
      <c r="C1" t="str">
        <v>Completed</v>
      </c>
    </row>
    <row r="2">
      <c r="A2" t="str">
        <v>Total Jobs</v>
      </c>
      <c r="B2">
        <f>COUNTA(Table13[Work Center])</f>
        <v>69</v>
      </c>
      <c r="C2">
        <f>COUNTIF(Detail.!O:O,"&gt;0")</f>
        <v>53</v>
      </c>
    </row>
    <row r="3">
      <c r="A3" t="str">
        <v>Descon</v>
      </c>
      <c r="B3">
        <f>+COUNTIF(Table13[Scope],A3)</f>
        <v>61</v>
      </c>
      <c r="C3">
        <f>COUNTIFS(Detail.!D:D,Sheet3!A3,Detail.!O:O,"&gt;0")</f>
        <v>51</v>
      </c>
    </row>
    <row r="4">
      <c r="A4" t="str">
        <v>OQ</v>
      </c>
      <c r="B4">
        <f>+COUNTIF(Table13[Scope],A4)</f>
        <v>5</v>
      </c>
      <c r="C4">
        <f>COUNTIFS(Detail.!D:D,Sheet3!A4,Detail.!O:O,"&gt;0")</f>
        <v>2</v>
      </c>
    </row>
    <row r="5">
      <c r="A5" t="str">
        <v>OQ Other Contractor</v>
      </c>
      <c r="B5">
        <f>+COUNTIF(Table13[Scope],A5)</f>
        <v>3</v>
      </c>
      <c r="C5">
        <f>COUNTIFS(Detail.!D:D,Sheet3!A5,Detail.!O:O,"&gt;0")</f>
        <v>0</v>
      </c>
    </row>
    <row r="6">
      <c r="A6" t="str">
        <v>Description</v>
      </c>
      <c r="B6" t="str">
        <v>Total</v>
      </c>
      <c r="C6" t="str">
        <v>Plan/Actual</v>
      </c>
      <c r="D6" t="str">
        <v>%age</v>
      </c>
      <c r="E6">
        <v>46113</v>
      </c>
      <c r="F6">
        <f>+E6+1</f>
        <v>46114</v>
      </c>
      <c r="G6">
        <f>+F6+1</f>
        <v>46115</v>
      </c>
      <c r="H6">
        <f>+G6+1</f>
        <v>46116</v>
      </c>
      <c r="I6">
        <f>+H6+1</f>
        <v>46117</v>
      </c>
      <c r="J6">
        <f>+I6+1</f>
        <v>46118</v>
      </c>
      <c r="K6">
        <f>+J6+1</f>
        <v>46119</v>
      </c>
      <c r="L6">
        <f>+K6+1</f>
        <v>46120</v>
      </c>
      <c r="M6">
        <f>+L6+1</f>
        <v>46121</v>
      </c>
      <c r="N6">
        <f>+M6+1</f>
        <v>46122</v>
      </c>
      <c r="O6">
        <f>+N6+1</f>
        <v>46123</v>
      </c>
      <c r="P6">
        <f>+O6+1</f>
        <v>46124</v>
      </c>
      <c r="Q6">
        <f>+P6+1</f>
        <v>46125</v>
      </c>
      <c r="R6">
        <f>+Q6+1</f>
        <v>46126</v>
      </c>
      <c r="S6">
        <f>+R6+1</f>
        <v>46127</v>
      </c>
      <c r="T6">
        <f>+S6+1</f>
        <v>46128</v>
      </c>
      <c r="U6">
        <f>+T6+1</f>
        <v>46129</v>
      </c>
      <c r="V6">
        <f>+U6+1</f>
        <v>46130</v>
      </c>
      <c r="W6">
        <f>+V6+1</f>
        <v>46131</v>
      </c>
      <c r="X6">
        <f>+W6+1</f>
        <v>46132</v>
      </c>
      <c r="Y6">
        <f>+X6+1</f>
        <v>46133</v>
      </c>
      <c r="Z6">
        <f>+Y6+1</f>
        <v>46134</v>
      </c>
      <c r="AA6">
        <f>+Z6+1</f>
        <v>46135</v>
      </c>
      <c r="AB6">
        <f>+AA6+1</f>
        <v>46136</v>
      </c>
      <c r="AC6">
        <f>+AB6+1</f>
        <v>46137</v>
      </c>
      <c r="AD6">
        <f>+AC6+1</f>
        <v>46138</v>
      </c>
      <c r="AE6">
        <f>+AD6+1</f>
        <v>46139</v>
      </c>
      <c r="AF6">
        <f>+AE6+1</f>
        <v>46140</v>
      </c>
      <c r="AG6">
        <f>+AF6+1</f>
        <v>46141</v>
      </c>
      <c r="AH6">
        <f>+AG6+1</f>
        <v>46142</v>
      </c>
    </row>
    <row r="7">
      <c r="A7" t="str">
        <v>Descon</v>
      </c>
      <c r="B7">
        <f>+SUM(E7:AH7)</f>
        <v>0</v>
      </c>
      <c r="C7" t="str">
        <v>Plan</v>
      </c>
      <c r="D7" t="e">
        <f>+B8/B7</f>
        <v>#DIV/0!</v>
      </c>
      <c r="E7">
        <f>COUNTIFS(Detail.!$L:$L,Sheet3!E6,Detail.!$D:$D,Sheet3!$A$7)</f>
        <v>0</v>
      </c>
      <c r="F7">
        <f>COUNTIFS(Detail.!$L:$L,Sheet3!F6,Detail.!$D:$D,Sheet3!$A$7)</f>
        <v>0</v>
      </c>
      <c r="G7">
        <f>COUNTIFS(Detail.!$L:$L,Sheet3!G6,Detail.!$D:$D,Sheet3!$A$7)</f>
        <v>0</v>
      </c>
      <c r="H7">
        <f>COUNTIFS(Detail.!$L:$L,Sheet3!H6,Detail.!$D:$D,Sheet3!$A$7)</f>
        <v>0</v>
      </c>
      <c r="I7">
        <f>COUNTIFS(Detail.!$L:$L,Sheet3!I6,Detail.!$D:$D,Sheet3!$A$7)</f>
        <v>0</v>
      </c>
      <c r="J7">
        <f>COUNTIFS(Detail.!$L:$L,Sheet3!J6,Detail.!$D:$D,Sheet3!$A$7)</f>
        <v>0</v>
      </c>
      <c r="K7">
        <f>COUNTIFS(Detail.!$L:$L,Sheet3!K6,Detail.!$D:$D,Sheet3!$A$7)</f>
        <v>0</v>
      </c>
      <c r="L7">
        <f>COUNTIFS(Detail.!$L:$L,Sheet3!L6,Detail.!$D:$D,Sheet3!$A$7)</f>
        <v>0</v>
      </c>
      <c r="M7">
        <f>COUNTIFS(Detail.!$L:$L,Sheet3!M6,Detail.!$D:$D,Sheet3!$A$7)</f>
        <v>0</v>
      </c>
      <c r="N7">
        <f>COUNTIFS(Detail.!$L:$L,Sheet3!N6,Detail.!$D:$D,Sheet3!$A$7)</f>
        <v>0</v>
      </c>
      <c r="O7">
        <f>COUNTIFS(Detail.!$L:$L,Sheet3!O6,Detail.!$D:$D,Sheet3!$A$7)</f>
        <v>0</v>
      </c>
      <c r="P7">
        <f>COUNTIFS(Detail.!$L:$L,Sheet3!P6,Detail.!$D:$D,Sheet3!$A$7)</f>
        <v>0</v>
      </c>
      <c r="Q7">
        <f>COUNTIFS(Detail.!$L:$L,Sheet3!Q6,Detail.!$D:$D,Sheet3!$A$7)</f>
        <v>0</v>
      </c>
      <c r="R7">
        <f>COUNTIFS(Detail.!$L:$L,Sheet3!R6,Detail.!$D:$D,Sheet3!$A$7)</f>
        <v>0</v>
      </c>
      <c r="S7">
        <f>COUNTIFS(Detail.!$L:$L,Sheet3!S6,Detail.!$D:$D,Sheet3!$A$7)</f>
        <v>0</v>
      </c>
      <c r="T7">
        <f>COUNTIFS(Detail.!$L:$L,Sheet3!T6,Detail.!$D:$D,Sheet3!$A$7)</f>
        <v>0</v>
      </c>
      <c r="U7">
        <f>COUNTIFS(Detail.!$L:$L,Sheet3!U6,Detail.!$D:$D,Sheet3!$A$7)</f>
        <v>0</v>
      </c>
      <c r="V7">
        <f>COUNTIFS(Detail.!$L:$L,Sheet3!V6,Detail.!$D:$D,Sheet3!$A$7)</f>
        <v>0</v>
      </c>
      <c r="W7">
        <f>COUNTIFS(Detail.!$L:$L,Sheet3!W6,Detail.!$D:$D,Sheet3!$A$7)</f>
        <v>0</v>
      </c>
      <c r="X7">
        <f>COUNTIFS(Detail.!$L:$L,Sheet3!X6,Detail.!$D:$D,Sheet3!$A$7)</f>
        <v>0</v>
      </c>
      <c r="Y7">
        <f>COUNTIFS(Detail.!$L:$L,Sheet3!Y6,Detail.!$D:$D,Sheet3!$A$7)</f>
        <v>0</v>
      </c>
      <c r="Z7">
        <f>COUNTIFS(Detail.!$L:$L,Sheet3!Z6,Detail.!$D:$D,Sheet3!$A$7)</f>
        <v>0</v>
      </c>
      <c r="AA7">
        <f>COUNTIFS(Detail.!$L:$L,Sheet3!AA6,Detail.!$D:$D,Sheet3!$A$7)</f>
        <v>0</v>
      </c>
      <c r="AB7">
        <f>COUNTIFS(Detail.!$L:$L,Sheet3!AB6,Detail.!$D:$D,Sheet3!$A$7)</f>
        <v>0</v>
      </c>
      <c r="AC7">
        <f>COUNTIFS(Detail.!$L:$L,Sheet3!AC6,Detail.!$D:$D,Sheet3!$A$7)</f>
        <v>0</v>
      </c>
      <c r="AD7">
        <f>COUNTIFS(Detail.!$L:$L,Sheet3!AD6,Detail.!$D:$D,Sheet3!$A$7)</f>
        <v>0</v>
      </c>
      <c r="AE7">
        <f>COUNTIFS(Detail.!$L:$L,Sheet3!AE6,Detail.!$D:$D,Sheet3!$A$7)</f>
        <v>0</v>
      </c>
      <c r="AF7">
        <f>COUNTIFS(Detail.!$L:$L,Sheet3!AF6,Detail.!$D:$D,Sheet3!$A$7)</f>
        <v>0</v>
      </c>
      <c r="AG7">
        <f>COUNTIFS(Detail.!$L:$L,Sheet3!AG6,Detail.!$D:$D,Sheet3!$A$7)</f>
        <v>0</v>
      </c>
      <c r="AH7">
        <f>COUNTIFS(Detail.!$L:$L,Sheet3!AH6,Detail.!$D:$D,Sheet3!$A$7)</f>
        <v>0</v>
      </c>
    </row>
    <row r="8">
      <c r="B8">
        <f>+SUM(E8:AH8)</f>
        <v>0</v>
      </c>
      <c r="C8" t="str">
        <v>Actual</v>
      </c>
      <c r="E8">
        <f>COUNTIFS(Detail.!$O:$O,E6,Detail.!$D:$D,Sheet3!$A$7)</f>
        <v>0</v>
      </c>
      <c r="F8">
        <f>COUNTIFS(Detail.!$O:$O,F6,Detail.!$D:$D,Sheet3!$A$7)</f>
        <v>0</v>
      </c>
      <c r="G8">
        <f>COUNTIFS(Detail.!$O:$O,G6,Detail.!$D:$D,Sheet3!$A$7)</f>
        <v>0</v>
      </c>
      <c r="H8">
        <f>COUNTIFS(Detail.!$O:$O,H6,Detail.!$D:$D,Sheet3!$A$7)</f>
        <v>0</v>
      </c>
      <c r="I8">
        <f>COUNTIFS(Detail.!$O:$O,I6,Detail.!$D:$D,Sheet3!$A$7)</f>
        <v>0</v>
      </c>
      <c r="J8">
        <f>COUNTIFS(Detail.!$O:$O,J6,Detail.!$D:$D,Sheet3!$A$7)</f>
        <v>0</v>
      </c>
      <c r="K8">
        <f>COUNTIFS(Detail.!$O:$O,K6,Detail.!$D:$D,Sheet3!$A$7)</f>
        <v>0</v>
      </c>
      <c r="L8">
        <f>COUNTIFS(Detail.!$O:$O,L6,Detail.!$D:$D,Sheet3!$A$7)</f>
        <v>0</v>
      </c>
      <c r="M8">
        <f>COUNTIFS(Detail.!$O:$O,M6,Detail.!$D:$D,Sheet3!$A$7)</f>
        <v>0</v>
      </c>
      <c r="N8">
        <f>COUNTIFS(Detail.!$O:$O,N6,Detail.!$D:$D,Sheet3!$A$7)</f>
        <v>0</v>
      </c>
      <c r="O8">
        <f>COUNTIFS(Detail.!$O:$O,O6,Detail.!$D:$D,Sheet3!$A$7)</f>
        <v>0</v>
      </c>
      <c r="P8">
        <f>COUNTIFS(Detail.!$O:$O,P6,Detail.!$D:$D,Sheet3!$A$7)</f>
        <v>0</v>
      </c>
      <c r="Q8">
        <f>COUNTIFS(Detail.!$O:$O,Q6,Detail.!$D:$D,Sheet3!$A$7)</f>
        <v>0</v>
      </c>
      <c r="R8">
        <f>COUNTIFS(Detail.!$O:$O,R6,Detail.!$D:$D,Sheet3!$A$7)</f>
        <v>0</v>
      </c>
      <c r="S8">
        <f>COUNTIFS(Detail.!$O:$O,S6,Detail.!$D:$D,Sheet3!$A$7)</f>
        <v>0</v>
      </c>
      <c r="T8">
        <f>COUNTIFS(Detail.!$O:$O,T6,Detail.!$D:$D,Sheet3!$A$7)</f>
        <v>0</v>
      </c>
      <c r="U8">
        <f>COUNTIFS(Detail.!$O:$O,U6,Detail.!$D:$D,Sheet3!$A$7)</f>
        <v>0</v>
      </c>
      <c r="V8">
        <f>COUNTIFS(Detail.!$O:$O,V6,Detail.!$D:$D,Sheet3!$A$7)</f>
        <v>0</v>
      </c>
      <c r="W8">
        <f>COUNTIFS(Detail.!$O:$O,W6,Detail.!$D:$D,Sheet3!$A$7)</f>
        <v>0</v>
      </c>
      <c r="X8">
        <f>COUNTIFS(Detail.!$O:$O,X6,Detail.!$D:$D,Sheet3!$A$7)</f>
        <v>0</v>
      </c>
      <c r="Y8">
        <f>COUNTIFS(Detail.!$O:$O,Y6,Detail.!$D:$D,Sheet3!$A$7)</f>
        <v>0</v>
      </c>
      <c r="Z8">
        <f>COUNTIFS(Detail.!$O:$O,Z6,Detail.!$D:$D,Sheet3!$A$7)</f>
        <v>0</v>
      </c>
      <c r="AA8">
        <f>COUNTIFS(Detail.!$O:$O,AA6,Detail.!$D:$D,Sheet3!$A$7)</f>
        <v>0</v>
      </c>
      <c r="AB8">
        <f>COUNTIFS(Detail.!$O:$O,AB6,Detail.!$D:$D,Sheet3!$A$7)</f>
        <v>0</v>
      </c>
      <c r="AC8">
        <f>COUNTIFS(Detail.!$O:$O,AC6,Detail.!$D:$D,Sheet3!$A$7)</f>
        <v>0</v>
      </c>
      <c r="AD8">
        <f>COUNTIFS(Detail.!$O:$O,AD6,Detail.!$D:$D,Sheet3!$A$7)</f>
        <v>0</v>
      </c>
      <c r="AE8">
        <f>COUNTIFS(Detail.!$O:$O,AE6,Detail.!$D:$D,Sheet3!$A$7)</f>
        <v>0</v>
      </c>
      <c r="AF8">
        <f>COUNTIFS(Detail.!$O:$O,AF6,Detail.!$D:$D,Sheet3!$A$7)</f>
        <v>0</v>
      </c>
      <c r="AG8">
        <f>COUNTIFS(Detail.!$O:$O,AG6,Detail.!$D:$D,Sheet3!$A$7)</f>
        <v>0</v>
      </c>
      <c r="AH8">
        <f>COUNTIFS(Detail.!$O:$O,AH6,Detail.!$D:$D,Sheet3!$A$7)</f>
        <v>0</v>
      </c>
    </row>
    <row r="9">
      <c r="A9" t="str">
        <v>PM</v>
      </c>
      <c r="B9">
        <f>+SUM(E9:AH9)</f>
        <v>0</v>
      </c>
      <c r="C9" t="str">
        <v>Plan</v>
      </c>
      <c r="D9" t="e">
        <f>+B10/B9</f>
        <v>#DIV/0!</v>
      </c>
      <c r="E9">
        <f>+COUNTIFS(Detail.!$D:$D,"Descon",Detail.!$I:$I,"ZPM",Detail.!$L:$L,Sheet3!E6)</f>
        <v>0</v>
      </c>
      <c r="F9">
        <f>+COUNTIFS(Detail.!$D:$D,"Descon",Detail.!$I:$I,"ZPM",Detail.!$L:$L,Sheet3!F6)</f>
        <v>0</v>
      </c>
      <c r="G9">
        <f>+COUNTIFS(Detail.!$D:$D,"Descon",Detail.!$I:$I,"ZPM",Detail.!$L:$L,Sheet3!G6)</f>
        <v>0</v>
      </c>
      <c r="H9">
        <f>+COUNTIFS(Detail.!$D:$D,"Descon",Detail.!$I:$I,"ZPM",Detail.!$L:$L,Sheet3!H6)</f>
        <v>0</v>
      </c>
      <c r="I9">
        <f>+COUNTIFS(Detail.!$D:$D,"Descon",Detail.!$I:$I,"ZPM",Detail.!$L:$L,Sheet3!I6)</f>
        <v>0</v>
      </c>
      <c r="J9">
        <f>+COUNTIFS(Detail.!$D:$D,"Descon",Detail.!$I:$I,"ZPM",Detail.!$L:$L,Sheet3!J6)</f>
        <v>0</v>
      </c>
      <c r="K9">
        <f>+COUNTIFS(Detail.!$D:$D,"Descon",Detail.!$I:$I,"ZPM",Detail.!$L:$L,Sheet3!K6)</f>
        <v>0</v>
      </c>
      <c r="L9">
        <f>+COUNTIFS(Detail.!$D:$D,"Descon",Detail.!$I:$I,"ZPM",Detail.!$L:$L,Sheet3!L6)</f>
        <v>0</v>
      </c>
      <c r="M9">
        <f>+COUNTIFS(Detail.!$D:$D,"Descon",Detail.!$I:$I,"ZPM",Detail.!$L:$L,Sheet3!M6)</f>
        <v>0</v>
      </c>
      <c r="N9">
        <f>+COUNTIFS(Detail.!$D:$D,"Descon",Detail.!$I:$I,"ZPM",Detail.!$L:$L,Sheet3!N6)</f>
        <v>0</v>
      </c>
      <c r="O9">
        <f>+COUNTIFS(Detail.!$D:$D,"Descon",Detail.!$I:$I,"ZPM",Detail.!$L:$L,Sheet3!O6)</f>
        <v>0</v>
      </c>
      <c r="P9">
        <f>+COUNTIFS(Detail.!$D:$D,"Descon",Detail.!$I:$I,"ZPM",Detail.!$L:$L,Sheet3!P6)</f>
        <v>0</v>
      </c>
      <c r="Q9">
        <f>+COUNTIFS(Detail.!$D:$D,"Descon",Detail.!$I:$I,"ZPM",Detail.!$L:$L,Sheet3!Q6)</f>
        <v>0</v>
      </c>
      <c r="R9">
        <f>+COUNTIFS(Detail.!$D:$D,"Descon",Detail.!$I:$I,"ZPM",Detail.!$L:$L,Sheet3!R6)</f>
        <v>0</v>
      </c>
      <c r="S9">
        <f>+COUNTIFS(Detail.!$D:$D,"Descon",Detail.!$I:$I,"ZPM",Detail.!$L:$L,Sheet3!S6)</f>
        <v>0</v>
      </c>
      <c r="T9">
        <f>+COUNTIFS(Detail.!$D:$D,"Descon",Detail.!$I:$I,"ZPM",Detail.!$L:$L,Sheet3!T6)</f>
        <v>0</v>
      </c>
      <c r="U9">
        <f>+COUNTIFS(Detail.!$D:$D,"Descon",Detail.!$I:$I,"ZPM",Detail.!$L:$L,Sheet3!U6)</f>
        <v>0</v>
      </c>
      <c r="V9">
        <f>+COUNTIFS(Detail.!$D:$D,"Descon",Detail.!$I:$I,"ZPM",Detail.!$L:$L,Sheet3!V6)</f>
        <v>0</v>
      </c>
      <c r="W9">
        <f>+COUNTIFS(Detail.!$D:$D,"Descon",Detail.!$I:$I,"ZPM",Detail.!$L:$L,Sheet3!W6)</f>
        <v>0</v>
      </c>
      <c r="X9">
        <f>+COUNTIFS(Detail.!$D:$D,"Descon",Detail.!$I:$I,"ZPM",Detail.!$L:$L,Sheet3!X6)</f>
        <v>0</v>
      </c>
      <c r="Y9">
        <f>+COUNTIFS(Detail.!$D:$D,"Descon",Detail.!$I:$I,"ZPM",Detail.!$L:$L,Sheet3!Y6)</f>
        <v>0</v>
      </c>
      <c r="Z9">
        <f>+COUNTIFS(Detail.!$D:$D,"Descon",Detail.!$I:$I,"ZPM",Detail.!$L:$L,Sheet3!Z6)</f>
        <v>0</v>
      </c>
      <c r="AA9">
        <f>+COUNTIFS(Detail.!$D:$D,"Descon",Detail.!$I:$I,"ZPM",Detail.!$L:$L,Sheet3!AA6)</f>
        <v>0</v>
      </c>
      <c r="AB9">
        <f>+COUNTIFS(Detail.!$D:$D,"Descon",Detail.!$I:$I,"ZPM",Detail.!$L:$L,Sheet3!AB6)</f>
        <v>0</v>
      </c>
      <c r="AC9">
        <f>+COUNTIFS(Detail.!$D:$D,"Descon",Detail.!$I:$I,"ZPM",Detail.!$L:$L,Sheet3!AC6)</f>
        <v>0</v>
      </c>
      <c r="AD9">
        <f>+COUNTIFS(Detail.!$D:$D,"Descon",Detail.!$I:$I,"ZPM",Detail.!$L:$L,Sheet3!AD6)</f>
        <v>0</v>
      </c>
      <c r="AE9">
        <f>+COUNTIFS(Detail.!$D:$D,"Descon",Detail.!$I:$I,"ZPM",Detail.!$L:$L,Sheet3!AE6)</f>
        <v>0</v>
      </c>
      <c r="AF9">
        <f>+COUNTIFS(Detail.!$D:$D,"Descon",Detail.!$I:$I,"ZPM",Detail.!$L:$L,Sheet3!AF6)</f>
        <v>0</v>
      </c>
      <c r="AG9">
        <f>+COUNTIFS(Detail.!$D:$D,"Descon",Detail.!$I:$I,"ZPM",Detail.!$L:$L,Sheet3!AG6)</f>
        <v>0</v>
      </c>
      <c r="AH9">
        <f>+COUNTIFS(Detail.!$D:$D,"Descon",Detail.!$I:$I,"ZPM",Detail.!$L:$L,Sheet3!AH6)</f>
        <v>0</v>
      </c>
    </row>
    <row r="10">
      <c r="B10">
        <f>+SUM(E10:AH10)</f>
        <v>0</v>
      </c>
      <c r="C10" t="str">
        <v>Actual</v>
      </c>
      <c r="E10">
        <f>+COUNTIFS(Detail.!$D:$D,"Descon",Detail.!$I:$I,"ZPM",Detail.!$O:$O,E6)</f>
        <v>0</v>
      </c>
      <c r="F10">
        <f>+COUNTIFS(Detail.!$D:$D,"Descon",Detail.!$I:$I,"ZPM",Detail.!$O:$O,F6)</f>
        <v>0</v>
      </c>
      <c r="G10">
        <f>+COUNTIFS(Detail.!$D:$D,"Descon",Detail.!$I:$I,"ZPM",Detail.!$O:$O,G6)</f>
        <v>0</v>
      </c>
      <c r="H10">
        <f>+COUNTIFS(Detail.!$D:$D,"Descon",Detail.!$I:$I,"ZPM",Detail.!$O:$O,H6)</f>
        <v>0</v>
      </c>
      <c r="I10">
        <f>+COUNTIFS(Detail.!$D:$D,"Descon",Detail.!$I:$I,"ZPM",Detail.!$O:$O,I6)</f>
        <v>0</v>
      </c>
      <c r="J10">
        <f>+COUNTIFS(Detail.!$D:$D,"Descon",Detail.!$I:$I,"ZPM",Detail.!$O:$O,J6)</f>
        <v>0</v>
      </c>
      <c r="K10">
        <f>+COUNTIFS(Detail.!$D:$D,"Descon",Detail.!$I:$I,"ZPM",Detail.!$O:$O,K6)</f>
        <v>0</v>
      </c>
      <c r="L10">
        <f>+COUNTIFS(Detail.!$D:$D,"Descon",Detail.!$I:$I,"ZPM",Detail.!$O:$O,L6)</f>
        <v>0</v>
      </c>
      <c r="M10">
        <f>+COUNTIFS(Detail.!$D:$D,"Descon",Detail.!$I:$I,"ZPM",Detail.!$O:$O,M6)</f>
        <v>0</v>
      </c>
      <c r="N10">
        <f>+COUNTIFS(Detail.!$D:$D,"Descon",Detail.!$I:$I,"ZPM",Detail.!$O:$O,N6)</f>
        <v>0</v>
      </c>
      <c r="O10">
        <f>+COUNTIFS(Detail.!$D:$D,"Descon",Detail.!$I:$I,"ZPM",Detail.!$O:$O,O6)</f>
        <v>0</v>
      </c>
      <c r="P10">
        <f>+COUNTIFS(Detail.!$D:$D,"Descon",Detail.!$I:$I,"ZPM",Detail.!$O:$O,P6)</f>
        <v>0</v>
      </c>
      <c r="Q10">
        <f>+COUNTIFS(Detail.!$D:$D,"Descon",Detail.!$I:$I,"ZPM",Detail.!$O:$O,Q6)</f>
        <v>0</v>
      </c>
      <c r="R10">
        <f>+COUNTIFS(Detail.!$D:$D,"Descon",Detail.!$I:$I,"ZPM",Detail.!$O:$O,R6)</f>
        <v>0</v>
      </c>
      <c r="S10">
        <f>+COUNTIFS(Detail.!$D:$D,"Descon",Detail.!$I:$I,"ZPM",Detail.!$O:$O,S6)</f>
        <v>0</v>
      </c>
      <c r="T10">
        <f>+COUNTIFS(Detail.!$D:$D,"Descon",Detail.!$I:$I,"ZPM",Detail.!$O:$O,T6)</f>
        <v>0</v>
      </c>
      <c r="U10">
        <f>+COUNTIFS(Detail.!$D:$D,"Descon",Detail.!$I:$I,"ZPM",Detail.!$O:$O,U6)</f>
        <v>0</v>
      </c>
      <c r="V10">
        <f>+COUNTIFS(Detail.!$D:$D,"Descon",Detail.!$I:$I,"ZPM",Detail.!$O:$O,V6)</f>
        <v>0</v>
      </c>
      <c r="W10">
        <f>+COUNTIFS(Detail.!$D:$D,"Descon",Detail.!$I:$I,"ZPM",Detail.!$O:$O,W6)</f>
        <v>0</v>
      </c>
      <c r="X10">
        <f>+COUNTIFS(Detail.!$D:$D,"Descon",Detail.!$I:$I,"ZPM",Detail.!$O:$O,X6)</f>
        <v>0</v>
      </c>
      <c r="Y10">
        <f>+COUNTIFS(Detail.!$D:$D,"Descon",Detail.!$I:$I,"ZPM",Detail.!$O:$O,Y6)</f>
        <v>0</v>
      </c>
      <c r="Z10">
        <f>+COUNTIFS(Detail.!$D:$D,"Descon",Detail.!$I:$I,"ZPM",Detail.!$O:$O,Z6)</f>
        <v>0</v>
      </c>
      <c r="AA10">
        <f>+COUNTIFS(Detail.!$D:$D,"Descon",Detail.!$I:$I,"ZPM",Detail.!$O:$O,AA6)</f>
        <v>0</v>
      </c>
      <c r="AB10">
        <f>+COUNTIFS(Detail.!$D:$D,"Descon",Detail.!$I:$I,"ZPM",Detail.!$O:$O,AB6)</f>
        <v>0</v>
      </c>
      <c r="AC10">
        <f>+COUNTIFS(Detail.!$D:$D,"Descon",Detail.!$I:$I,"ZPM",Detail.!$O:$O,AC6)</f>
        <v>0</v>
      </c>
      <c r="AD10">
        <f>+COUNTIFS(Detail.!$D:$D,"Descon",Detail.!$I:$I,"ZPM",Detail.!$O:$O,AD6)</f>
        <v>0</v>
      </c>
      <c r="AE10">
        <f>+COUNTIFS(Detail.!$D:$D,"Descon",Detail.!$I:$I,"ZPM",Detail.!$O:$O,AE6)</f>
        <v>0</v>
      </c>
      <c r="AF10">
        <f>+COUNTIFS(Detail.!$D:$D,"Descon",Detail.!$I:$I,"ZPM",Detail.!$O:$O,AF6)</f>
        <v>0</v>
      </c>
      <c r="AG10">
        <f>+COUNTIFS(Detail.!$D:$D,"Descon",Detail.!$I:$I,"ZPM",Detail.!$O:$O,AG6)</f>
        <v>0</v>
      </c>
      <c r="AH10">
        <f>+COUNTIFS(Detail.!$D:$D,"Descon",Detail.!$I:$I,"ZPM",Detail.!$O:$O,AH6)</f>
        <v>0</v>
      </c>
    </row>
    <row r="11">
      <c r="A11" t="str">
        <v>CM</v>
      </c>
      <c r="B11">
        <f>+SUM(E11:AH11)</f>
        <v>0</v>
      </c>
      <c r="C11" t="str">
        <v>Plan</v>
      </c>
      <c r="D11" t="e">
        <f>+B12/B11</f>
        <v>#DIV/0!</v>
      </c>
      <c r="E11">
        <f>+COUNTIFS(Detail.!$D:$D,"Descon",Detail.!$I:$I,"ZCR",Detail.!$L:$L,Sheet3!E6)</f>
        <v>0</v>
      </c>
      <c r="F11">
        <f>+COUNTIFS(Detail.!$D:$D,"Descon",Detail.!$I:$I,"ZCR",Detail.!$L:$L,Sheet3!F6)</f>
        <v>0</v>
      </c>
      <c r="G11">
        <f>+COUNTIFS(Detail.!$D:$D,"Descon",Detail.!$I:$I,"ZCR",Detail.!$L:$L,Sheet3!G6)</f>
        <v>0</v>
      </c>
      <c r="H11">
        <f>+COUNTIFS(Detail.!$D:$D,"Descon",Detail.!$I:$I,"ZCR",Detail.!$L:$L,Sheet3!H6)</f>
        <v>0</v>
      </c>
      <c r="I11">
        <f>+COUNTIFS(Detail.!$D:$D,"Descon",Detail.!$I:$I,"ZCR",Detail.!$L:$L,Sheet3!I6)</f>
        <v>0</v>
      </c>
      <c r="J11">
        <f>+COUNTIFS(Detail.!$D:$D,"Descon",Detail.!$I:$I,"ZCR",Detail.!$L:$L,Sheet3!J6)</f>
        <v>0</v>
      </c>
      <c r="K11">
        <f>+COUNTIFS(Detail.!$D:$D,"Descon",Detail.!$I:$I,"ZCR",Detail.!$L:$L,Sheet3!K6)</f>
        <v>0</v>
      </c>
      <c r="L11">
        <f>+COUNTIFS(Detail.!$D:$D,"Descon",Detail.!$I:$I,"ZCR",Detail.!$L:$L,Sheet3!L6)</f>
        <v>0</v>
      </c>
      <c r="M11">
        <f>+COUNTIFS(Detail.!$D:$D,"Descon",Detail.!$I:$I,"ZCR",Detail.!$L:$L,Sheet3!M6)</f>
        <v>0</v>
      </c>
      <c r="N11">
        <f>+COUNTIFS(Detail.!$D:$D,"Descon",Detail.!$I:$I,"ZCR",Detail.!$L:$L,Sheet3!N6)</f>
        <v>0</v>
      </c>
      <c r="O11">
        <f>+COUNTIFS(Detail.!$D:$D,"Descon",Detail.!$I:$I,"ZCR",Detail.!$L:$L,Sheet3!O6)</f>
        <v>0</v>
      </c>
      <c r="P11">
        <f>+COUNTIFS(Detail.!$D:$D,"Descon",Detail.!$I:$I,"ZCR",Detail.!$L:$L,Sheet3!P6)</f>
        <v>0</v>
      </c>
      <c r="Q11">
        <f>+COUNTIFS(Detail.!$D:$D,"Descon",Detail.!$I:$I,"ZCR",Detail.!$L:$L,Sheet3!Q6)</f>
        <v>0</v>
      </c>
      <c r="R11">
        <f>+COUNTIFS(Detail.!$D:$D,"Descon",Detail.!$I:$I,"ZCR",Detail.!$L:$L,Sheet3!R6)</f>
        <v>0</v>
      </c>
      <c r="S11">
        <f>+COUNTIFS(Detail.!$D:$D,"Descon",Detail.!$I:$I,"ZCR",Detail.!$L:$L,Sheet3!S6)</f>
        <v>0</v>
      </c>
      <c r="T11">
        <f>+COUNTIFS(Detail.!$D:$D,"Descon",Detail.!$I:$I,"ZCR",Detail.!$L:$L,Sheet3!T6)</f>
        <v>0</v>
      </c>
      <c r="U11">
        <f>+COUNTIFS(Detail.!$D:$D,"Descon",Detail.!$I:$I,"ZCR",Detail.!$L:$L,Sheet3!U6)</f>
        <v>0</v>
      </c>
      <c r="V11">
        <f>+COUNTIFS(Detail.!$D:$D,"Descon",Detail.!$I:$I,"ZCR",Detail.!$L:$L,Sheet3!V6)</f>
        <v>0</v>
      </c>
      <c r="W11">
        <f>+COUNTIFS(Detail.!$D:$D,"Descon",Detail.!$I:$I,"ZCR",Detail.!$L:$L,Sheet3!W6)</f>
        <v>0</v>
      </c>
      <c r="X11">
        <f>+COUNTIFS(Detail.!$D:$D,"Descon",Detail.!$I:$I,"ZCR",Detail.!$L:$L,Sheet3!X6)</f>
        <v>0</v>
      </c>
      <c r="Y11">
        <f>+COUNTIFS(Detail.!$D:$D,"Descon",Detail.!$I:$I,"ZCR",Detail.!$L:$L,Sheet3!Y6)</f>
        <v>0</v>
      </c>
      <c r="Z11">
        <f>+COUNTIFS(Detail.!$D:$D,"Descon",Detail.!$I:$I,"ZCR",Detail.!$L:$L,Sheet3!Z6)</f>
        <v>0</v>
      </c>
      <c r="AA11">
        <f>+COUNTIFS(Detail.!$D:$D,"Descon",Detail.!$I:$I,"ZCR",Detail.!$L:$L,Sheet3!AA6)</f>
        <v>0</v>
      </c>
      <c r="AB11">
        <f>+COUNTIFS(Detail.!$D:$D,"Descon",Detail.!$I:$I,"ZCR",Detail.!$L:$L,Sheet3!AB6)</f>
        <v>0</v>
      </c>
      <c r="AC11">
        <f>+COUNTIFS(Detail.!$D:$D,"Descon",Detail.!$I:$I,"ZCR",Detail.!$L:$L,Sheet3!AC6)</f>
        <v>0</v>
      </c>
      <c r="AD11">
        <f>+COUNTIFS(Detail.!$D:$D,"Descon",Detail.!$I:$I,"ZCR",Detail.!$L:$L,Sheet3!AD6)</f>
        <v>0</v>
      </c>
      <c r="AE11">
        <f>+COUNTIFS(Detail.!$D:$D,"Descon",Detail.!$I:$I,"ZCR",Detail.!$L:$L,Sheet3!AE6)</f>
        <v>0</v>
      </c>
      <c r="AF11">
        <f>+COUNTIFS(Detail.!$D:$D,"Descon",Detail.!$I:$I,"ZCR",Detail.!$L:$L,Sheet3!AF6)</f>
        <v>0</v>
      </c>
      <c r="AG11">
        <f>+COUNTIFS(Detail.!$D:$D,"Descon",Detail.!$I:$I,"ZCR",Detail.!$L:$L,Sheet3!AG6)</f>
        <v>0</v>
      </c>
      <c r="AH11">
        <f>+COUNTIFS(Detail.!$D:$D,"Descon",Detail.!$I:$I,"ZCR",Detail.!$L:$L,Sheet3!AH6)</f>
        <v>0</v>
      </c>
    </row>
    <row r="12">
      <c r="B12">
        <f>+SUM(E12:AH12)</f>
        <v>0</v>
      </c>
      <c r="C12" t="str">
        <v>Actual</v>
      </c>
      <c r="E12">
        <f>+COUNTIFS(Detail.!$D:$D,"Descon",Detail.!$I:$I,"ZCR",Detail.!$O:$O,Sheet3!E6)</f>
        <v>0</v>
      </c>
      <c r="F12">
        <f>+COUNTIFS(Detail.!$D:$D,"Descon",Detail.!$I:$I,"ZCR",Detail.!$O:$O,Sheet3!F6)</f>
        <v>0</v>
      </c>
      <c r="G12">
        <f>+COUNTIFS(Detail.!$D:$D,"Descon",Detail.!$I:$I,"ZCR",Detail.!$O:$O,Sheet3!G6)</f>
        <v>0</v>
      </c>
      <c r="H12">
        <f>+COUNTIFS(Detail.!$D:$D,"Descon",Detail.!$I:$I,"ZCR",Detail.!$O:$O,Sheet3!H6)</f>
        <v>0</v>
      </c>
      <c r="I12">
        <f>+COUNTIFS(Detail.!$D:$D,"Descon",Detail.!$I:$I,"ZCR",Detail.!$O:$O,Sheet3!I6)</f>
        <v>0</v>
      </c>
      <c r="J12">
        <f>+COUNTIFS(Detail.!$D:$D,"Descon",Detail.!$I:$I,"ZCR",Detail.!$O:$O,Sheet3!J6)</f>
        <v>0</v>
      </c>
      <c r="K12">
        <f>+COUNTIFS(Detail.!$D:$D,"Descon",Detail.!$I:$I,"ZCR",Detail.!$O:$O,Sheet3!K6)</f>
        <v>0</v>
      </c>
      <c r="L12">
        <f>+COUNTIFS(Detail.!$D:$D,"Descon",Detail.!$I:$I,"ZCR",Detail.!$O:$O,Sheet3!L6)</f>
        <v>0</v>
      </c>
      <c r="M12">
        <f>+COUNTIFS(Detail.!$D:$D,"Descon",Detail.!$I:$I,"ZCR",Detail.!$O:$O,Sheet3!M6)</f>
        <v>0</v>
      </c>
      <c r="N12">
        <f>+COUNTIFS(Detail.!$D:$D,"Descon",Detail.!$I:$I,"ZCR",Detail.!$O:$O,Sheet3!N6)</f>
        <v>0</v>
      </c>
      <c r="O12">
        <f>+COUNTIFS(Detail.!$D:$D,"Descon",Detail.!$I:$I,"ZCR",Detail.!$O:$O,Sheet3!O6)</f>
        <v>0</v>
      </c>
      <c r="P12">
        <f>+COUNTIFS(Detail.!$D:$D,"Descon",Detail.!$I:$I,"ZCR",Detail.!$O:$O,Sheet3!P6)</f>
        <v>0</v>
      </c>
      <c r="Q12">
        <f>+COUNTIFS(Detail.!$D:$D,"Descon",Detail.!$I:$I,"ZCR",Detail.!$O:$O,Sheet3!Q6)</f>
        <v>0</v>
      </c>
      <c r="R12">
        <f>+COUNTIFS(Detail.!$D:$D,"Descon",Detail.!$I:$I,"ZCR",Detail.!$O:$O,Sheet3!R6)</f>
        <v>0</v>
      </c>
      <c r="S12">
        <f>+COUNTIFS(Detail.!$D:$D,"Descon",Detail.!$I:$I,"ZCR",Detail.!$O:$O,Sheet3!S6)</f>
        <v>0</v>
      </c>
      <c r="T12">
        <f>+COUNTIFS(Detail.!$D:$D,"Descon",Detail.!$I:$I,"ZCR",Detail.!$O:$O,Sheet3!T6)</f>
        <v>0</v>
      </c>
      <c r="U12">
        <f>+COUNTIFS(Detail.!$D:$D,"Descon",Detail.!$I:$I,"ZCR",Detail.!$O:$O,Sheet3!U6)</f>
        <v>0</v>
      </c>
      <c r="V12">
        <f>+COUNTIFS(Detail.!$D:$D,"Descon",Detail.!$I:$I,"ZCR",Detail.!$O:$O,Sheet3!V6)</f>
        <v>0</v>
      </c>
      <c r="W12">
        <f>+COUNTIFS(Detail.!$D:$D,"Descon",Detail.!$I:$I,"ZCR",Detail.!$O:$O,Sheet3!W6)</f>
        <v>0</v>
      </c>
      <c r="X12">
        <f>+COUNTIFS(Detail.!$D:$D,"Descon",Detail.!$I:$I,"ZCR",Detail.!$O:$O,Sheet3!X6)</f>
        <v>0</v>
      </c>
      <c r="Y12">
        <f>+COUNTIFS(Detail.!$D:$D,"Descon",Detail.!$I:$I,"ZCR",Detail.!$O:$O,Sheet3!Y6)</f>
        <v>0</v>
      </c>
      <c r="Z12">
        <f>+COUNTIFS(Detail.!$D:$D,"Descon",Detail.!$I:$I,"ZCR",Detail.!$O:$O,Sheet3!Z6)</f>
        <v>0</v>
      </c>
      <c r="AA12">
        <f>+COUNTIFS(Detail.!$D:$D,"Descon",Detail.!$I:$I,"ZCR",Detail.!$O:$O,Sheet3!AA6)</f>
        <v>0</v>
      </c>
      <c r="AB12">
        <f>+COUNTIFS(Detail.!$D:$D,"Descon",Detail.!$I:$I,"ZCR",Detail.!$O:$O,Sheet3!AB6)</f>
        <v>0</v>
      </c>
      <c r="AC12">
        <f>+COUNTIFS(Detail.!$D:$D,"Descon",Detail.!$I:$I,"ZCR",Detail.!$O:$O,Sheet3!AC6)</f>
        <v>0</v>
      </c>
      <c r="AD12">
        <f>+COUNTIFS(Detail.!$D:$D,"Descon",Detail.!$I:$I,"ZCR",Detail.!$O:$O,Sheet3!AD6)</f>
        <v>0</v>
      </c>
      <c r="AE12">
        <f>+COUNTIFS(Detail.!$D:$D,"Descon",Detail.!$I:$I,"ZCR",Detail.!$O:$O,Sheet3!AE6)</f>
        <v>0</v>
      </c>
      <c r="AF12">
        <f>+COUNTIFS(Detail.!$D:$D,"Descon",Detail.!$I:$I,"ZCR",Detail.!$O:$O,Sheet3!AF6)</f>
        <v>0</v>
      </c>
      <c r="AG12">
        <f>+COUNTIFS(Detail.!$D:$D,"Descon",Detail.!$I:$I,"ZCR",Detail.!$O:$O,Sheet3!AG6)</f>
        <v>0</v>
      </c>
      <c r="AH12">
        <f>+COUNTIFS(Detail.!$D:$D,"Descon",Detail.!$I:$I,"ZCR",Detail.!$O:$O,Sheet3!AH6)</f>
        <v>0</v>
      </c>
    </row>
    <row r="14">
      <c r="A14" t="str">
        <v>Date</v>
      </c>
      <c r="B14" t="str">
        <v>PM Plan</v>
      </c>
      <c r="C14" t="str">
        <v>PM Actual</v>
      </c>
      <c r="D14" t="str">
        <v>CM Plan</v>
      </c>
      <c r="E14" t="str">
        <v>CM Actual</v>
      </c>
      <c r="F14" t="str">
        <v>Total Plan</v>
      </c>
      <c r="G14" t="str">
        <v>Total Actual</v>
      </c>
    </row>
    <row r="15">
      <c r="A15">
        <v>46113</v>
      </c>
      <c r="B15">
        <f>COUNTIFS(Detail.!$L:$L,A15,Detail.!$D:$D,Sheet3!$A$7)</f>
        <v>0</v>
      </c>
      <c r="C15">
        <f>COUNTIFS(Detail.!$O:$O,A15,Detail.!$D:$D,Sheet3!$A$7)</f>
        <v>0</v>
      </c>
      <c r="D15">
        <f>+COUNTIFS(Detail.!$D:$D,"Descon",Detail.!$I:$I,"ZCR",Detail.!$L:$L,A15)</f>
        <v>0</v>
      </c>
      <c r="E15">
        <f>+COUNTIFS(Detail.!$D:$D,"Descon",Detail.!$I:$I,"ZCR",Detail.!$O:$O,A15)</f>
        <v>0</v>
      </c>
      <c r="F15">
        <f>+D15+B15</f>
        <v>0</v>
      </c>
      <c r="G15">
        <f>+E15+C15</f>
        <v>0</v>
      </c>
    </row>
    <row r="16">
      <c r="A16">
        <v>46114</v>
      </c>
      <c r="B16">
        <f>COUNTIFS(Detail.!$L:$L,A16,Detail.!$D:$D,Sheet3!$A$7)</f>
        <v>0</v>
      </c>
      <c r="C16">
        <f>COUNTIFS(Detail.!$O:$O,A16,Detail.!$D:$D,Sheet3!$A$7)</f>
        <v>0</v>
      </c>
      <c r="D16">
        <f>+COUNTIFS(Detail.!$D:$D,"Descon",Detail.!$I:$I,"ZCR",Detail.!$L:$L,A16)</f>
        <v>0</v>
      </c>
      <c r="E16">
        <f>+COUNTIFS(Detail.!$D:$D,"Descon",Detail.!$I:$I,"ZCR",Detail.!$O:$O,A16)</f>
        <v>0</v>
      </c>
      <c r="F16">
        <f>+D16+B16</f>
        <v>0</v>
      </c>
      <c r="G16">
        <f>+E16+C16</f>
        <v>0</v>
      </c>
    </row>
    <row r="17">
      <c r="A17">
        <v>46115</v>
      </c>
      <c r="B17">
        <f>COUNTIFS(Detail.!$L:$L,A17,Detail.!$D:$D,Sheet3!$A$7)</f>
        <v>0</v>
      </c>
      <c r="C17">
        <f>COUNTIFS(Detail.!$O:$O,A17,Detail.!$D:$D,Sheet3!$A$7)</f>
        <v>0</v>
      </c>
      <c r="D17">
        <f>+COUNTIFS(Detail.!$D:$D,"Descon",Detail.!$I:$I,"ZCR",Detail.!$L:$L,A17)</f>
        <v>0</v>
      </c>
      <c r="E17">
        <f>+COUNTIFS(Detail.!$D:$D,"Descon",Detail.!$I:$I,"ZCR",Detail.!$O:$O,A17)</f>
        <v>0</v>
      </c>
      <c r="F17">
        <f>+D17+B17</f>
        <v>0</v>
      </c>
      <c r="G17">
        <f>+E17+C17</f>
        <v>0</v>
      </c>
    </row>
    <row r="18">
      <c r="A18">
        <v>46116</v>
      </c>
      <c r="B18">
        <f>COUNTIFS(Detail.!$L:$L,A18,Detail.!$D:$D,Sheet3!$A$7)</f>
        <v>0</v>
      </c>
      <c r="C18">
        <f>COUNTIFS(Detail.!$O:$O,A18,Detail.!$D:$D,Sheet3!$A$7)</f>
        <v>0</v>
      </c>
      <c r="D18">
        <f>+COUNTIFS(Detail.!$D:$D,"Descon",Detail.!$I:$I,"ZCR",Detail.!$L:$L,A18)</f>
        <v>0</v>
      </c>
      <c r="E18">
        <f>+COUNTIFS(Detail.!$D:$D,"Descon",Detail.!$I:$I,"ZCR",Detail.!$O:$O,A18)</f>
        <v>0</v>
      </c>
      <c r="F18">
        <f>+D18+B18</f>
        <v>0</v>
      </c>
      <c r="G18">
        <f>+E18+C18</f>
        <v>0</v>
      </c>
    </row>
    <row r="19">
      <c r="A19">
        <v>46117</v>
      </c>
      <c r="B19">
        <f>COUNTIFS(Detail.!$L:$L,A19,Detail.!$D:$D,Sheet3!$A$7)</f>
        <v>0</v>
      </c>
      <c r="C19">
        <f>COUNTIFS(Detail.!$O:$O,A19,Detail.!$D:$D,Sheet3!$A$7)</f>
        <v>0</v>
      </c>
      <c r="D19">
        <f>+COUNTIFS(Detail.!$D:$D,"Descon",Detail.!$I:$I,"ZCR",Detail.!$L:$L,A19)</f>
        <v>0</v>
      </c>
      <c r="E19">
        <f>+COUNTIFS(Detail.!$D:$D,"Descon",Detail.!$I:$I,"ZCR",Detail.!$O:$O,A19)</f>
        <v>0</v>
      </c>
      <c r="F19">
        <f>+D19+B19</f>
        <v>0</v>
      </c>
      <c r="G19">
        <f>+E19+C19</f>
        <v>0</v>
      </c>
    </row>
    <row r="20">
      <c r="A20">
        <v>46118</v>
      </c>
      <c r="B20">
        <f>COUNTIFS(Detail.!$L:$L,A20,Detail.!$D:$D,Sheet3!$A$7)</f>
        <v>0</v>
      </c>
      <c r="C20">
        <f>COUNTIFS(Detail.!$O:$O,A20,Detail.!$D:$D,Sheet3!$A$7)</f>
        <v>0</v>
      </c>
      <c r="D20">
        <f>+COUNTIFS(Detail.!$D:$D,"Descon",Detail.!$I:$I,"ZCR",Detail.!$L:$L,A20)</f>
        <v>0</v>
      </c>
      <c r="E20">
        <f>+COUNTIFS(Detail.!$D:$D,"Descon",Detail.!$I:$I,"ZCR",Detail.!$O:$O,A20)</f>
        <v>0</v>
      </c>
      <c r="F20">
        <f>+D20+B20</f>
        <v>0</v>
      </c>
      <c r="G20">
        <f>+E20+C20</f>
        <v>0</v>
      </c>
    </row>
    <row r="21">
      <c r="A21">
        <v>46119</v>
      </c>
      <c r="B21">
        <f>COUNTIFS(Detail.!$L:$L,A21,Detail.!$D:$D,Sheet3!$A$7)</f>
        <v>0</v>
      </c>
      <c r="C21">
        <f>COUNTIFS(Detail.!$O:$O,A21,Detail.!$D:$D,Sheet3!$A$7)</f>
        <v>0</v>
      </c>
      <c r="D21">
        <f>+COUNTIFS(Detail.!$D:$D,"Descon",Detail.!$I:$I,"ZCR",Detail.!$L:$L,A21)</f>
        <v>0</v>
      </c>
      <c r="E21">
        <f>+COUNTIFS(Detail.!$D:$D,"Descon",Detail.!$I:$I,"ZCR",Detail.!$O:$O,A21)</f>
        <v>0</v>
      </c>
      <c r="F21">
        <f>+D21+B21</f>
        <v>0</v>
      </c>
      <c r="G21">
        <f>+E21+C21</f>
        <v>0</v>
      </c>
    </row>
    <row r="22">
      <c r="A22">
        <v>46120</v>
      </c>
      <c r="B22">
        <f>COUNTIFS(Detail.!$L:$L,A22,Detail.!$D:$D,Sheet3!$A$7)</f>
        <v>0</v>
      </c>
      <c r="C22">
        <f>COUNTIFS(Detail.!$O:$O,A22,Detail.!$D:$D,Sheet3!$A$7)</f>
        <v>0</v>
      </c>
      <c r="D22">
        <f>+COUNTIFS(Detail.!$D:$D,"Descon",Detail.!$I:$I,"ZCR",Detail.!$L:$L,A22)</f>
        <v>0</v>
      </c>
      <c r="E22">
        <f>+COUNTIFS(Detail.!$D:$D,"Descon",Detail.!$I:$I,"ZCR",Detail.!$O:$O,A22)</f>
        <v>0</v>
      </c>
      <c r="F22">
        <f>+D22+B22</f>
        <v>0</v>
      </c>
      <c r="G22">
        <f>+E22+C22</f>
        <v>0</v>
      </c>
    </row>
    <row r="23">
      <c r="A23">
        <v>46121</v>
      </c>
      <c r="B23">
        <f>COUNTIFS(Detail.!$L:$L,A23,Detail.!$D:$D,Sheet3!$A$7)</f>
        <v>0</v>
      </c>
      <c r="C23">
        <f>COUNTIFS(Detail.!$O:$O,A23,Detail.!$D:$D,Sheet3!$A$7)</f>
        <v>0</v>
      </c>
      <c r="D23">
        <f>+COUNTIFS(Detail.!$D:$D,"Descon",Detail.!$I:$I,"ZCR",Detail.!$L:$L,A23)</f>
        <v>0</v>
      </c>
      <c r="E23">
        <f>+COUNTIFS(Detail.!$D:$D,"Descon",Detail.!$I:$I,"ZCR",Detail.!$O:$O,A23)</f>
        <v>0</v>
      </c>
      <c r="F23">
        <f>+D23+B23</f>
        <v>0</v>
      </c>
      <c r="G23">
        <f>+E23+C23</f>
        <v>0</v>
      </c>
    </row>
    <row r="24">
      <c r="A24">
        <v>46122</v>
      </c>
      <c r="B24">
        <f>COUNTIFS(Detail.!$L:$L,A24,Detail.!$D:$D,Sheet3!$A$7)</f>
        <v>0</v>
      </c>
      <c r="C24">
        <f>COUNTIFS(Detail.!$O:$O,A24,Detail.!$D:$D,Sheet3!$A$7)</f>
        <v>0</v>
      </c>
      <c r="D24">
        <f>+COUNTIFS(Detail.!$D:$D,"Descon",Detail.!$I:$I,"ZCR",Detail.!$L:$L,A24)</f>
        <v>0</v>
      </c>
      <c r="E24">
        <f>+COUNTIFS(Detail.!$D:$D,"Descon",Detail.!$I:$I,"ZCR",Detail.!$O:$O,A24)</f>
        <v>0</v>
      </c>
      <c r="F24">
        <f>+D24+B24</f>
        <v>0</v>
      </c>
      <c r="G24">
        <f>+E24+C24</f>
        <v>0</v>
      </c>
    </row>
    <row r="25">
      <c r="A25">
        <v>46123</v>
      </c>
      <c r="B25">
        <f>COUNTIFS(Detail.!$L:$L,A25,Detail.!$D:$D,Sheet3!$A$7)</f>
        <v>0</v>
      </c>
      <c r="C25">
        <f>COUNTIFS(Detail.!$O:$O,A25,Detail.!$D:$D,Sheet3!$A$7)</f>
        <v>0</v>
      </c>
      <c r="D25">
        <f>+COUNTIFS(Detail.!$D:$D,"Descon",Detail.!$I:$I,"ZCR",Detail.!$L:$L,A25)</f>
        <v>0</v>
      </c>
      <c r="E25">
        <f>+COUNTIFS(Detail.!$D:$D,"Descon",Detail.!$I:$I,"ZCR",Detail.!$O:$O,A25)</f>
        <v>0</v>
      </c>
      <c r="F25">
        <f>+D25+B25</f>
        <v>0</v>
      </c>
      <c r="G25">
        <f>+E25+C25</f>
        <v>0</v>
      </c>
    </row>
    <row r="26">
      <c r="A26">
        <v>46124</v>
      </c>
      <c r="B26">
        <f>COUNTIFS(Detail.!$L:$L,A26,Detail.!$D:$D,Sheet3!$A$7)</f>
        <v>0</v>
      </c>
      <c r="C26">
        <f>COUNTIFS(Detail.!$O:$O,A26,Detail.!$D:$D,Sheet3!$A$7)</f>
        <v>0</v>
      </c>
      <c r="D26">
        <f>+COUNTIFS(Detail.!$D:$D,"Descon",Detail.!$I:$I,"ZCR",Detail.!$L:$L,A26)</f>
        <v>0</v>
      </c>
      <c r="E26">
        <f>+COUNTIFS(Detail.!$D:$D,"Descon",Detail.!$I:$I,"ZCR",Detail.!$O:$O,A26)</f>
        <v>0</v>
      </c>
      <c r="F26">
        <f>+D26+B26</f>
        <v>0</v>
      </c>
      <c r="G26">
        <f>+E26+C26</f>
        <v>0</v>
      </c>
    </row>
    <row r="27">
      <c r="A27">
        <v>46125</v>
      </c>
      <c r="B27">
        <f>COUNTIFS(Detail.!$L:$L,A27,Detail.!$D:$D,Sheet3!$A$7)</f>
        <v>0</v>
      </c>
      <c r="C27">
        <f>COUNTIFS(Detail.!$O:$O,A27,Detail.!$D:$D,Sheet3!$A$7)</f>
        <v>0</v>
      </c>
      <c r="D27">
        <f>+COUNTIFS(Detail.!$D:$D,"Descon",Detail.!$I:$I,"ZCR",Detail.!$L:$L,A27)</f>
        <v>0</v>
      </c>
      <c r="E27">
        <f>+COUNTIFS(Detail.!$D:$D,"Descon",Detail.!$I:$I,"ZCR",Detail.!$O:$O,A27)</f>
        <v>0</v>
      </c>
      <c r="F27">
        <f>+D27+B27</f>
        <v>0</v>
      </c>
      <c r="G27">
        <f>+E27+C27</f>
        <v>0</v>
      </c>
    </row>
    <row r="28">
      <c r="A28">
        <v>46126</v>
      </c>
      <c r="B28">
        <f>COUNTIFS(Detail.!$L:$L,A28,Detail.!$D:$D,Sheet3!$A$7)</f>
        <v>0</v>
      </c>
      <c r="C28">
        <f>COUNTIFS(Detail.!$O:$O,A28,Detail.!$D:$D,Sheet3!$A$7)</f>
        <v>0</v>
      </c>
      <c r="D28">
        <f>+COUNTIFS(Detail.!$D:$D,"Descon",Detail.!$I:$I,"ZCR",Detail.!$L:$L,A28)</f>
        <v>0</v>
      </c>
      <c r="E28">
        <f>+COUNTIFS(Detail.!$D:$D,"Descon",Detail.!$I:$I,"ZCR",Detail.!$O:$O,A28)</f>
        <v>0</v>
      </c>
      <c r="F28">
        <f>+D28+B28</f>
        <v>0</v>
      </c>
      <c r="G28">
        <f>+E28+C28</f>
        <v>0</v>
      </c>
    </row>
    <row r="29">
      <c r="A29">
        <v>46127</v>
      </c>
      <c r="B29">
        <f>COUNTIFS(Detail.!$L:$L,A29,Detail.!$D:$D,Sheet3!$A$7)</f>
        <v>0</v>
      </c>
      <c r="C29">
        <f>COUNTIFS(Detail.!$O:$O,A29,Detail.!$D:$D,Sheet3!$A$7)</f>
        <v>0</v>
      </c>
      <c r="D29">
        <f>+COUNTIFS(Detail.!$D:$D,"Descon",Detail.!$I:$I,"ZCR",Detail.!$L:$L,A29)</f>
        <v>0</v>
      </c>
      <c r="E29">
        <f>+COUNTIFS(Detail.!$D:$D,"Descon",Detail.!$I:$I,"ZCR",Detail.!$O:$O,A29)</f>
        <v>0</v>
      </c>
      <c r="F29">
        <f>+D29+B29</f>
        <v>0</v>
      </c>
      <c r="G29">
        <f>+E29+C29</f>
        <v>0</v>
      </c>
    </row>
    <row r="30">
      <c r="A30">
        <v>46128</v>
      </c>
      <c r="B30">
        <f>COUNTIFS(Detail.!$L:$L,A30,Detail.!$D:$D,Sheet3!$A$7)</f>
        <v>0</v>
      </c>
      <c r="C30">
        <f>COUNTIFS(Detail.!$O:$O,A30,Detail.!$D:$D,Sheet3!$A$7)</f>
        <v>0</v>
      </c>
      <c r="D30">
        <f>+COUNTIFS(Detail.!$D:$D,"Descon",Detail.!$I:$I,"ZCR",Detail.!$L:$L,A30)</f>
        <v>0</v>
      </c>
      <c r="E30">
        <f>+COUNTIFS(Detail.!$D:$D,"Descon",Detail.!$I:$I,"ZCR",Detail.!$O:$O,A30)</f>
        <v>0</v>
      </c>
      <c r="F30">
        <f>+D30+B30</f>
        <v>0</v>
      </c>
      <c r="G30">
        <f>+E30+C30</f>
        <v>0</v>
      </c>
    </row>
    <row r="31">
      <c r="A31">
        <v>46129</v>
      </c>
      <c r="B31">
        <f>COUNTIFS(Detail.!$L:$L,A31,Detail.!$D:$D,Sheet3!$A$7)</f>
        <v>0</v>
      </c>
      <c r="C31">
        <f>COUNTIFS(Detail.!$O:$O,A31,Detail.!$D:$D,Sheet3!$A$7)</f>
        <v>0</v>
      </c>
      <c r="D31">
        <f>+COUNTIFS(Detail.!$D:$D,"Descon",Detail.!$I:$I,"ZCR",Detail.!$L:$L,A31)</f>
        <v>0</v>
      </c>
      <c r="E31">
        <f>+COUNTIFS(Detail.!$D:$D,"Descon",Detail.!$I:$I,"ZCR",Detail.!$O:$O,A31)</f>
        <v>0</v>
      </c>
      <c r="F31">
        <f>+D31+B31</f>
        <v>0</v>
      </c>
      <c r="G31">
        <f>+E31+C31</f>
        <v>0</v>
      </c>
    </row>
    <row r="32">
      <c r="A32">
        <v>46130</v>
      </c>
      <c r="B32">
        <f>COUNTIFS(Detail.!$L:$L,A32,Detail.!$D:$D,Sheet3!$A$7)</f>
        <v>0</v>
      </c>
      <c r="C32">
        <f>COUNTIFS(Detail.!$O:$O,A32,Detail.!$D:$D,Sheet3!$A$7)</f>
        <v>0</v>
      </c>
      <c r="D32">
        <f>+COUNTIFS(Detail.!$D:$D,"Descon",Detail.!$I:$I,"ZCR",Detail.!$L:$L,A32)</f>
        <v>0</v>
      </c>
      <c r="E32">
        <f>+COUNTIFS(Detail.!$D:$D,"Descon",Detail.!$I:$I,"ZCR",Detail.!$O:$O,A32)</f>
        <v>0</v>
      </c>
      <c r="F32">
        <f>+D32+B32</f>
        <v>0</v>
      </c>
      <c r="G32">
        <f>+E32+C32</f>
        <v>0</v>
      </c>
    </row>
    <row r="33">
      <c r="A33">
        <v>46131</v>
      </c>
      <c r="B33">
        <f>COUNTIFS(Detail.!$L:$L,A33,Detail.!$D:$D,Sheet3!$A$7)</f>
        <v>0</v>
      </c>
      <c r="C33">
        <f>COUNTIFS(Detail.!$O:$O,A33,Detail.!$D:$D,Sheet3!$A$7)</f>
        <v>0</v>
      </c>
      <c r="D33">
        <f>+COUNTIFS(Detail.!$D:$D,"Descon",Detail.!$I:$I,"ZCR",Detail.!$L:$L,A33)</f>
        <v>0</v>
      </c>
      <c r="E33">
        <f>+COUNTIFS(Detail.!$D:$D,"Descon",Detail.!$I:$I,"ZCR",Detail.!$O:$O,A33)</f>
        <v>0</v>
      </c>
      <c r="F33">
        <f>+D33+B33</f>
        <v>0</v>
      </c>
      <c r="G33">
        <f>+E33+C33</f>
        <v>0</v>
      </c>
    </row>
    <row r="34">
      <c r="A34">
        <v>46132</v>
      </c>
      <c r="B34">
        <f>COUNTIFS(Detail.!$L:$L,A34,Detail.!$D:$D,Sheet3!$A$7)</f>
        <v>0</v>
      </c>
      <c r="C34">
        <f>COUNTIFS(Detail.!$O:$O,A34,Detail.!$D:$D,Sheet3!$A$7)</f>
        <v>0</v>
      </c>
      <c r="D34">
        <f>+COUNTIFS(Detail.!$D:$D,"Descon",Detail.!$I:$I,"ZCR",Detail.!$L:$L,A34)</f>
        <v>0</v>
      </c>
      <c r="E34">
        <f>+COUNTIFS(Detail.!$D:$D,"Descon",Detail.!$I:$I,"ZCR",Detail.!$O:$O,A34)</f>
        <v>0</v>
      </c>
      <c r="F34">
        <f>+D34+B34</f>
        <v>0</v>
      </c>
      <c r="G34">
        <f>+E34+C34</f>
        <v>0</v>
      </c>
    </row>
    <row r="35">
      <c r="A35">
        <v>46133</v>
      </c>
      <c r="B35">
        <f>COUNTIFS(Detail.!$L:$L,A35,Detail.!$D:$D,Sheet3!$A$7)</f>
        <v>0</v>
      </c>
      <c r="C35">
        <f>COUNTIFS(Detail.!$O:$O,A35,Detail.!$D:$D,Sheet3!$A$7)</f>
        <v>0</v>
      </c>
      <c r="D35">
        <f>+COUNTIFS(Detail.!$D:$D,"Descon",Detail.!$I:$I,"ZCR",Detail.!$L:$L,A35)</f>
        <v>0</v>
      </c>
      <c r="E35">
        <f>+COUNTIFS(Detail.!$D:$D,"Descon",Detail.!$I:$I,"ZCR",Detail.!$O:$O,A35)</f>
        <v>0</v>
      </c>
      <c r="F35">
        <f>+D35+B35</f>
        <v>0</v>
      </c>
      <c r="G35">
        <f>+E35+C35</f>
        <v>0</v>
      </c>
    </row>
    <row r="36">
      <c r="A36">
        <v>46134</v>
      </c>
      <c r="B36">
        <f>COUNTIFS(Detail.!$L:$L,A36,Detail.!$D:$D,Sheet3!$A$7)</f>
        <v>0</v>
      </c>
      <c r="C36">
        <f>COUNTIFS(Detail.!$O:$O,A36,Detail.!$D:$D,Sheet3!$A$7)</f>
        <v>0</v>
      </c>
      <c r="D36">
        <f>+COUNTIFS(Detail.!$D:$D,"Descon",Detail.!$I:$I,"ZCR",Detail.!$L:$L,A36)</f>
        <v>0</v>
      </c>
      <c r="E36">
        <f>+COUNTIFS(Detail.!$D:$D,"Descon",Detail.!$I:$I,"ZCR",Detail.!$O:$O,A36)</f>
        <v>0</v>
      </c>
      <c r="F36">
        <f>+D36+B36</f>
        <v>0</v>
      </c>
      <c r="G36">
        <f>+E36+C36</f>
        <v>0</v>
      </c>
    </row>
    <row r="37">
      <c r="A37">
        <v>46135</v>
      </c>
      <c r="B37">
        <f>COUNTIFS(Detail.!$L:$L,A37,Detail.!$D:$D,Sheet3!$A$7)</f>
        <v>0</v>
      </c>
      <c r="C37">
        <f>COUNTIFS(Detail.!$O:$O,A37,Detail.!$D:$D,Sheet3!$A$7)</f>
        <v>0</v>
      </c>
      <c r="D37">
        <f>+COUNTIFS(Detail.!$D:$D,"Descon",Detail.!$I:$I,"ZCR",Detail.!$L:$L,A37)</f>
        <v>0</v>
      </c>
      <c r="E37">
        <f>+COUNTIFS(Detail.!$D:$D,"Descon",Detail.!$I:$I,"ZCR",Detail.!$O:$O,A37)</f>
        <v>0</v>
      </c>
      <c r="F37">
        <f>+D37+B37</f>
        <v>0</v>
      </c>
      <c r="G37">
        <f>+E37+C37</f>
        <v>0</v>
      </c>
    </row>
    <row r="38">
      <c r="A38">
        <v>46136</v>
      </c>
      <c r="B38">
        <f>COUNTIFS(Detail.!$L:$L,A38,Detail.!$D:$D,Sheet3!$A$7)</f>
        <v>0</v>
      </c>
      <c r="C38">
        <f>COUNTIFS(Detail.!$O:$O,A38,Detail.!$D:$D,Sheet3!$A$7)</f>
        <v>0</v>
      </c>
      <c r="D38">
        <f>+COUNTIFS(Detail.!$D:$D,"Descon",Detail.!$I:$I,"ZCR",Detail.!$L:$L,A38)</f>
        <v>0</v>
      </c>
      <c r="E38">
        <f>+COUNTIFS(Detail.!$D:$D,"Descon",Detail.!$I:$I,"ZCR",Detail.!$O:$O,A38)</f>
        <v>0</v>
      </c>
      <c r="F38">
        <f>+D38+B38</f>
        <v>0</v>
      </c>
      <c r="G38">
        <f>+E38+C38</f>
        <v>0</v>
      </c>
    </row>
    <row r="39">
      <c r="A39">
        <v>46137</v>
      </c>
      <c r="B39">
        <f>COUNTIFS(Detail.!$L:$L,A39,Detail.!$D:$D,Sheet3!$A$7)</f>
        <v>0</v>
      </c>
      <c r="C39">
        <f>COUNTIFS(Detail.!$O:$O,A39,Detail.!$D:$D,Sheet3!$A$7)</f>
        <v>0</v>
      </c>
      <c r="D39">
        <f>+COUNTIFS(Detail.!$D:$D,"Descon",Detail.!$I:$I,"ZCR",Detail.!$L:$L,A39)</f>
        <v>0</v>
      </c>
      <c r="E39">
        <f>+COUNTIFS(Detail.!$D:$D,"Descon",Detail.!$I:$I,"ZCR",Detail.!$O:$O,A39)</f>
        <v>0</v>
      </c>
      <c r="F39">
        <f>+D39+B39</f>
        <v>0</v>
      </c>
      <c r="G39">
        <f>+E39+C39</f>
        <v>0</v>
      </c>
    </row>
    <row r="40">
      <c r="A40">
        <v>46138</v>
      </c>
      <c r="B40">
        <f>COUNTIFS(Detail.!$L:$L,A40,Detail.!$D:$D,Sheet3!$A$7)</f>
        <v>0</v>
      </c>
      <c r="C40">
        <f>COUNTIFS(Detail.!$O:$O,A40,Detail.!$D:$D,Sheet3!$A$7)</f>
        <v>0</v>
      </c>
      <c r="D40">
        <f>+COUNTIFS(Detail.!$D:$D,"Descon",Detail.!$I:$I,"ZCR",Detail.!$L:$L,A40)</f>
        <v>0</v>
      </c>
      <c r="E40">
        <f>+COUNTIFS(Detail.!$D:$D,"Descon",Detail.!$I:$I,"ZCR",Detail.!$O:$O,A40)</f>
        <v>0</v>
      </c>
      <c r="F40">
        <f>+D40+B40</f>
        <v>0</v>
      </c>
      <c r="G40">
        <f>+E40+C40</f>
        <v>0</v>
      </c>
    </row>
    <row r="41">
      <c r="A41">
        <v>46139</v>
      </c>
      <c r="B41">
        <f>COUNTIFS(Detail.!$L:$L,A41,Detail.!$D:$D,Sheet3!$A$7)</f>
        <v>0</v>
      </c>
      <c r="C41">
        <f>COUNTIFS(Detail.!$O:$O,A41,Detail.!$D:$D,Sheet3!$A$7)</f>
        <v>0</v>
      </c>
      <c r="D41">
        <f>+COUNTIFS(Detail.!$D:$D,"Descon",Detail.!$I:$I,"ZCR",Detail.!$L:$L,A41)</f>
        <v>0</v>
      </c>
      <c r="E41">
        <f>+COUNTIFS(Detail.!$D:$D,"Descon",Detail.!$I:$I,"ZCR",Detail.!$O:$O,A41)</f>
        <v>0</v>
      </c>
      <c r="F41">
        <f>+D41+B41</f>
        <v>0</v>
      </c>
      <c r="G41">
        <f>+E41+C41</f>
        <v>0</v>
      </c>
    </row>
    <row r="42">
      <c r="A42">
        <v>46140</v>
      </c>
      <c r="B42">
        <f>COUNTIFS(Detail.!$L:$L,A42,Detail.!$D:$D,Sheet3!$A$7)</f>
        <v>0</v>
      </c>
      <c r="C42">
        <f>COUNTIFS(Detail.!$O:$O,A42,Detail.!$D:$D,Sheet3!$A$7)</f>
        <v>0</v>
      </c>
      <c r="D42">
        <f>+COUNTIFS(Detail.!$D:$D,"Descon",Detail.!$I:$I,"ZCR",Detail.!$L:$L,A42)</f>
        <v>0</v>
      </c>
      <c r="E42">
        <f>+COUNTIFS(Detail.!$D:$D,"Descon",Detail.!$I:$I,"ZCR",Detail.!$O:$O,A42)</f>
        <v>0</v>
      </c>
      <c r="F42">
        <f>+D42+B42</f>
        <v>0</v>
      </c>
      <c r="G42">
        <f>+E42+C42</f>
        <v>0</v>
      </c>
    </row>
    <row r="43">
      <c r="A43">
        <v>46141</v>
      </c>
      <c r="B43">
        <f>COUNTIFS(Detail.!$L:$L,A43,Detail.!$D:$D,Sheet3!$A$7)</f>
        <v>0</v>
      </c>
      <c r="C43">
        <f>COUNTIFS(Detail.!$O:$O,A43,Detail.!$D:$D,Sheet3!$A$7)</f>
        <v>0</v>
      </c>
      <c r="D43">
        <f>+COUNTIFS(Detail.!$D:$D,"Descon",Detail.!$I:$I,"ZCR",Detail.!$L:$L,A43)</f>
        <v>0</v>
      </c>
      <c r="E43">
        <f>+COUNTIFS(Detail.!$D:$D,"Descon",Detail.!$I:$I,"ZCR",Detail.!$O:$O,A43)</f>
        <v>0</v>
      </c>
      <c r="F43">
        <f>+D43+B43</f>
        <v>0</v>
      </c>
      <c r="G43">
        <f>+E43+C43</f>
        <v>0</v>
      </c>
    </row>
    <row r="44">
      <c r="A44">
        <v>46142</v>
      </c>
      <c r="B44">
        <f>COUNTIFS(Detail.!$L:$L,A44,Detail.!$D:$D,Sheet3!$A$7)</f>
        <v>0</v>
      </c>
      <c r="C44">
        <f>COUNTIFS(Detail.!$O:$O,A44,Detail.!$D:$D,Sheet3!$A$7)</f>
        <v>0</v>
      </c>
      <c r="D44">
        <f>+COUNTIFS(Detail.!$D:$D,"Descon",Detail.!$I:$I,"ZCR",Detail.!$L:$L,A44)</f>
        <v>0</v>
      </c>
      <c r="E44">
        <f>+COUNTIFS(Detail.!$D:$D,"Descon",Detail.!$I:$I,"ZCR",Detail.!$O:$O,A44)</f>
        <v>0</v>
      </c>
      <c r="F44">
        <f>+D44+B44</f>
        <v>0</v>
      </c>
      <c r="G44">
        <f>+E44+C44</f>
        <v>0</v>
      </c>
    </row>
    <row r="47">
      <c r="A47" t="str">
        <v>Designation</v>
      </c>
      <c r="E47">
        <v>46113</v>
      </c>
      <c r="F47">
        <f>+E47+1</f>
        <v>46114</v>
      </c>
      <c r="G47">
        <f>+F47+1</f>
        <v>46115</v>
      </c>
      <c r="H47">
        <f>+G47+1</f>
        <v>46116</v>
      </c>
      <c r="I47">
        <f>+H47+1</f>
        <v>46117</v>
      </c>
      <c r="J47">
        <f>+I47+1</f>
        <v>46118</v>
      </c>
      <c r="K47">
        <f>+J47+1</f>
        <v>46119</v>
      </c>
      <c r="L47">
        <f>+K47+1</f>
        <v>46120</v>
      </c>
      <c r="M47">
        <f>+L47+1</f>
        <v>46121</v>
      </c>
      <c r="N47">
        <f>+M47+1</f>
        <v>46122</v>
      </c>
      <c r="O47">
        <f>+N47+1</f>
        <v>46123</v>
      </c>
      <c r="P47">
        <f>+O47+1</f>
        <v>46124</v>
      </c>
      <c r="Q47">
        <f>+P47+1</f>
        <v>46125</v>
      </c>
      <c r="R47">
        <f>+Q47+1</f>
        <v>46126</v>
      </c>
      <c r="S47">
        <f>+R47+1</f>
        <v>46127</v>
      </c>
      <c r="T47">
        <f>+S47+1</f>
        <v>46128</v>
      </c>
      <c r="U47">
        <f>+T47+1</f>
        <v>46129</v>
      </c>
      <c r="V47">
        <f>+U47+1</f>
        <v>46130</v>
      </c>
      <c r="W47">
        <f>+V47+1</f>
        <v>46131</v>
      </c>
      <c r="X47">
        <f>+W47+1</f>
        <v>46132</v>
      </c>
      <c r="Y47">
        <f>+X47+1</f>
        <v>46133</v>
      </c>
      <c r="Z47">
        <f>+Y47+1</f>
        <v>46134</v>
      </c>
      <c r="AA47">
        <f>+Z47+1</f>
        <v>46135</v>
      </c>
      <c r="AB47">
        <f>+AA47+1</f>
        <v>46136</v>
      </c>
      <c r="AC47">
        <f>+AB47+1</f>
        <v>46137</v>
      </c>
      <c r="AD47">
        <f>+AC47+1</f>
        <v>46138</v>
      </c>
      <c r="AE47">
        <f>+AD47+1</f>
        <v>46139</v>
      </c>
      <c r="AF47">
        <f>+AE47+1</f>
        <v>46140</v>
      </c>
      <c r="AG47">
        <f>+AF47+1</f>
        <v>46141</v>
      </c>
      <c r="AH47">
        <f>+AG47+1</f>
        <v>46142</v>
      </c>
    </row>
    <row r="48">
      <c r="A48" t="str">
        <v>Site Incharge</v>
      </c>
      <c r="C48" t="str">
        <v>Plan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>
      <c r="C49" t="str">
        <v>Actual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>
      <c r="A50" t="str">
        <v>Planner/Scheduler</v>
      </c>
      <c r="C50" t="str">
        <v>Plan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>
      <c r="C51" t="str">
        <v>Actual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>
      <c r="A52" t="str">
        <v>HSE Officer</v>
      </c>
      <c r="C52" t="str">
        <v>Plan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>
      <c r="C53" t="str">
        <v>Actual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>
      <c r="A54" t="str">
        <v>Mechanical Supervisor</v>
      </c>
      <c r="C54" t="str">
        <v>Plan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>
      <c r="C55" t="str">
        <v>Actual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>
      <c r="A56" t="str">
        <v>Mechanical Technician</v>
      </c>
      <c r="C56" t="str">
        <v>Plan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  <c r="N56">
        <v>9</v>
      </c>
      <c r="O56">
        <v>9</v>
      </c>
      <c r="P56">
        <v>9</v>
      </c>
      <c r="Q56">
        <v>9</v>
      </c>
      <c r="R56">
        <v>9</v>
      </c>
      <c r="S56">
        <v>9</v>
      </c>
      <c r="T56">
        <v>9</v>
      </c>
      <c r="U56">
        <v>9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9</v>
      </c>
      <c r="AD56">
        <v>9</v>
      </c>
      <c r="AE56">
        <v>9</v>
      </c>
      <c r="AF56">
        <v>9</v>
      </c>
      <c r="AG56">
        <v>9</v>
      </c>
      <c r="AH56">
        <v>9</v>
      </c>
    </row>
    <row r="57">
      <c r="C57" t="str">
        <v>Actual</v>
      </c>
      <c r="E57">
        <v>9</v>
      </c>
      <c r="F57">
        <v>9</v>
      </c>
      <c r="G57">
        <v>9</v>
      </c>
      <c r="H57">
        <v>9</v>
      </c>
      <c r="I57">
        <v>9</v>
      </c>
      <c r="J57">
        <v>9</v>
      </c>
    </row>
    <row r="59">
      <c r="E59">
        <v>46113</v>
      </c>
      <c r="F59">
        <f>+E59+1</f>
        <v>46114</v>
      </c>
      <c r="G59">
        <f>+F59+1</f>
        <v>46115</v>
      </c>
      <c r="H59">
        <f>+G59+1</f>
        <v>46116</v>
      </c>
      <c r="I59">
        <f>+H59+1</f>
        <v>46117</v>
      </c>
      <c r="J59">
        <f>+I59+1</f>
        <v>46118</v>
      </c>
      <c r="K59">
        <f>+J59+1</f>
        <v>46119</v>
      </c>
      <c r="L59">
        <f>+K59+1</f>
        <v>46120</v>
      </c>
      <c r="M59">
        <f>+L59+1</f>
        <v>46121</v>
      </c>
      <c r="N59">
        <f>+M59+1</f>
        <v>46122</v>
      </c>
      <c r="O59">
        <f>+N59+1</f>
        <v>46123</v>
      </c>
      <c r="P59">
        <f>+O59+1</f>
        <v>46124</v>
      </c>
      <c r="Q59">
        <f>+P59+1</f>
        <v>46125</v>
      </c>
      <c r="R59">
        <f>+Q59+1</f>
        <v>46126</v>
      </c>
      <c r="S59">
        <f>+R59+1</f>
        <v>46127</v>
      </c>
      <c r="T59">
        <f>+S59+1</f>
        <v>46128</v>
      </c>
      <c r="U59">
        <f>+T59+1</f>
        <v>46129</v>
      </c>
      <c r="V59">
        <f>+U59+1</f>
        <v>46130</v>
      </c>
      <c r="W59">
        <f>+V59+1</f>
        <v>46131</v>
      </c>
      <c r="X59">
        <f>+W59+1</f>
        <v>46132</v>
      </c>
      <c r="Y59">
        <f>+X59+1</f>
        <v>46133</v>
      </c>
      <c r="Z59">
        <f>+Y59+1</f>
        <v>46134</v>
      </c>
      <c r="AA59">
        <f>+Z59+1</f>
        <v>46135</v>
      </c>
      <c r="AB59">
        <f>+AA59+1</f>
        <v>46136</v>
      </c>
      <c r="AC59">
        <f>+AB59+1</f>
        <v>46137</v>
      </c>
      <c r="AD59">
        <f>+AC59+1</f>
        <v>46138</v>
      </c>
      <c r="AE59">
        <f>+AD59+1</f>
        <v>46139</v>
      </c>
      <c r="AF59">
        <f>+AE59+1</f>
        <v>46140</v>
      </c>
      <c r="AG59">
        <f>+AF59+1</f>
        <v>46141</v>
      </c>
      <c r="AH59">
        <f>+AG59+1</f>
        <v>46142</v>
      </c>
    </row>
    <row r="60">
      <c r="A60" t="str">
        <v>In-Direct</v>
      </c>
      <c r="C60" t="str">
        <v>Plan</v>
      </c>
      <c r="E60">
        <f>+E48+E50+E52+E54</f>
        <v>4</v>
      </c>
      <c r="F60">
        <f>+F48+F50+F52+F54</f>
        <v>4</v>
      </c>
      <c r="G60">
        <v>0</v>
      </c>
      <c r="H60">
        <v>0</v>
      </c>
      <c r="I60">
        <f>+I48+I50+I52+I54</f>
        <v>4</v>
      </c>
      <c r="J60">
        <f>+J48+J50+J52+J54</f>
        <v>4</v>
      </c>
      <c r="K60">
        <f>+K48+K50+K52+K54</f>
        <v>4</v>
      </c>
      <c r="L60">
        <f>+L48+L50+L52+L54</f>
        <v>4</v>
      </c>
      <c r="M60">
        <f>+M48+M50+M52+M54</f>
        <v>4</v>
      </c>
      <c r="N60">
        <v>0</v>
      </c>
      <c r="O60">
        <v>0</v>
      </c>
      <c r="P60">
        <f>+P48+P50+P52+P54</f>
        <v>4</v>
      </c>
      <c r="Q60">
        <f>+Q48+Q50+Q52+Q54</f>
        <v>4</v>
      </c>
      <c r="R60">
        <f>+R48+R50+R52+R54</f>
        <v>4</v>
      </c>
      <c r="S60">
        <f>+S48+S50+S52+S54</f>
        <v>4</v>
      </c>
      <c r="T60">
        <f>+T48+T50+T52+T54</f>
        <v>4</v>
      </c>
      <c r="U60">
        <v>0</v>
      </c>
      <c r="V60">
        <v>0</v>
      </c>
      <c r="W60">
        <f>+W48+W50+W52+W54</f>
        <v>4</v>
      </c>
      <c r="X60">
        <f>+X48+X50+X52+X54</f>
        <v>4</v>
      </c>
      <c r="Y60">
        <f>+Y48+Y50+Y52+Y54</f>
        <v>4</v>
      </c>
      <c r="Z60">
        <f>+Z48+Z50+Z52+Z54</f>
        <v>4</v>
      </c>
      <c r="AA60">
        <f>+AA48+AA50+AA52+AA54</f>
        <v>4</v>
      </c>
      <c r="AB60">
        <v>0</v>
      </c>
      <c r="AC60">
        <v>0</v>
      </c>
      <c r="AD60">
        <f>+AD48+AD50+AD52+AD54</f>
        <v>4</v>
      </c>
      <c r="AE60">
        <f>+AE48+AE50+AE52+AE54</f>
        <v>4</v>
      </c>
      <c r="AF60">
        <f>+AF48+AF50+AF52+AF54</f>
        <v>4</v>
      </c>
      <c r="AG60">
        <f>+AG48+AG50+AG52+AG54</f>
        <v>4</v>
      </c>
      <c r="AH60">
        <f>+AH48+AH50+AH52+AH54</f>
        <v>4</v>
      </c>
    </row>
    <row r="61">
      <c r="C61" t="str">
        <v>Actual</v>
      </c>
      <c r="E61">
        <v>4</v>
      </c>
      <c r="F61">
        <v>4</v>
      </c>
      <c r="G61">
        <v>0</v>
      </c>
      <c r="H61">
        <v>0</v>
      </c>
      <c r="I61">
        <v>4</v>
      </c>
      <c r="J61">
        <v>4</v>
      </c>
      <c r="K61">
        <v>4</v>
      </c>
      <c r="L61">
        <v>4</v>
      </c>
      <c r="M61">
        <v>4</v>
      </c>
      <c r="N61">
        <v>0</v>
      </c>
      <c r="O61">
        <v>0</v>
      </c>
      <c r="P61">
        <v>4</v>
      </c>
      <c r="Q61">
        <v>4</v>
      </c>
      <c r="R61">
        <v>4</v>
      </c>
      <c r="S61">
        <v>4</v>
      </c>
      <c r="T61">
        <v>4</v>
      </c>
      <c r="U61">
        <v>0</v>
      </c>
      <c r="V61">
        <v>0</v>
      </c>
      <c r="W61">
        <v>4</v>
      </c>
      <c r="X61">
        <v>4</v>
      </c>
      <c r="Y61">
        <v>4</v>
      </c>
      <c r="Z61">
        <v>4</v>
      </c>
      <c r="AA61">
        <v>4</v>
      </c>
    </row>
    <row r="62">
      <c r="A62" t="str">
        <v>Direct</v>
      </c>
      <c r="C62" t="str">
        <v>Plan</v>
      </c>
      <c r="E62">
        <f>+E56</f>
        <v>9</v>
      </c>
      <c r="F62">
        <f>+F56</f>
        <v>9</v>
      </c>
      <c r="G62">
        <v>0</v>
      </c>
      <c r="H62">
        <v>0</v>
      </c>
      <c r="I62">
        <f>+I56</f>
        <v>9</v>
      </c>
      <c r="J62">
        <f>+J56</f>
        <v>9</v>
      </c>
      <c r="K62">
        <f>+K56</f>
        <v>9</v>
      </c>
      <c r="L62">
        <f>+L56</f>
        <v>9</v>
      </c>
      <c r="M62">
        <f>+M56</f>
        <v>9</v>
      </c>
      <c r="N62">
        <v>0</v>
      </c>
      <c r="O62">
        <v>0</v>
      </c>
      <c r="P62">
        <f>+P56</f>
        <v>9</v>
      </c>
      <c r="Q62">
        <f>+Q56</f>
        <v>9</v>
      </c>
      <c r="R62">
        <f>+R56</f>
        <v>9</v>
      </c>
      <c r="S62">
        <f>+S56</f>
        <v>9</v>
      </c>
      <c r="T62">
        <f>+T56</f>
        <v>9</v>
      </c>
      <c r="U62">
        <v>0</v>
      </c>
      <c r="V62">
        <v>0</v>
      </c>
      <c r="W62">
        <f>+W56</f>
        <v>9</v>
      </c>
      <c r="X62">
        <f>+X56</f>
        <v>9</v>
      </c>
      <c r="Y62">
        <f>+Y56</f>
        <v>9</v>
      </c>
      <c r="Z62">
        <f>+Z56</f>
        <v>9</v>
      </c>
      <c r="AA62">
        <f>+AA56</f>
        <v>9</v>
      </c>
      <c r="AB62">
        <v>0</v>
      </c>
      <c r="AC62">
        <v>0</v>
      </c>
      <c r="AD62">
        <f>+AD56</f>
        <v>9</v>
      </c>
      <c r="AE62">
        <f>+AE56</f>
        <v>9</v>
      </c>
      <c r="AF62">
        <f>+AF56</f>
        <v>9</v>
      </c>
      <c r="AG62">
        <f>+AG56</f>
        <v>9</v>
      </c>
      <c r="AH62">
        <f>+AH56</f>
        <v>9</v>
      </c>
    </row>
    <row r="63">
      <c r="C63" t="str">
        <v>Actual</v>
      </c>
      <c r="E63">
        <v>9</v>
      </c>
      <c r="F63">
        <v>9</v>
      </c>
      <c r="G63">
        <v>0</v>
      </c>
      <c r="H63">
        <v>0</v>
      </c>
      <c r="I63">
        <v>9</v>
      </c>
      <c r="J63">
        <v>9</v>
      </c>
      <c r="K63">
        <v>9</v>
      </c>
      <c r="L63">
        <v>9</v>
      </c>
      <c r="M63">
        <v>9</v>
      </c>
      <c r="N63">
        <v>9</v>
      </c>
      <c r="O63">
        <v>9</v>
      </c>
      <c r="P63">
        <v>9</v>
      </c>
      <c r="Q63">
        <v>9</v>
      </c>
      <c r="R63">
        <v>9</v>
      </c>
      <c r="S63">
        <v>9</v>
      </c>
      <c r="T63">
        <v>9</v>
      </c>
      <c r="U63">
        <v>0</v>
      </c>
      <c r="V63">
        <v>0</v>
      </c>
      <c r="W63">
        <v>9</v>
      </c>
      <c r="X63">
        <v>9</v>
      </c>
      <c r="Y63">
        <v>9</v>
      </c>
      <c r="Z63">
        <v>9</v>
      </c>
      <c r="AA63">
        <v>9</v>
      </c>
    </row>
    <row r="64">
      <c r="A64" t="str">
        <v>Plan</v>
      </c>
      <c r="C64" t="str">
        <v>Plan</v>
      </c>
      <c r="E64">
        <f>+E60+E62</f>
        <v>13</v>
      </c>
      <c r="F64">
        <f>+F60+F62</f>
        <v>13</v>
      </c>
      <c r="G64">
        <f>+G60+G62</f>
        <v>0</v>
      </c>
      <c r="H64">
        <f>+H60+H62</f>
        <v>0</v>
      </c>
      <c r="I64">
        <f>+I60+I62</f>
        <v>13</v>
      </c>
      <c r="J64">
        <f>+J60+J62</f>
        <v>13</v>
      </c>
      <c r="K64">
        <f>+K60+K62</f>
        <v>13</v>
      </c>
      <c r="L64">
        <f>+L60+L62</f>
        <v>13</v>
      </c>
      <c r="M64">
        <f>+M60+M62</f>
        <v>13</v>
      </c>
      <c r="N64">
        <f>+N60+N62</f>
        <v>0</v>
      </c>
      <c r="O64">
        <f>+O60+O62</f>
        <v>0</v>
      </c>
      <c r="P64">
        <f>+P60+P62</f>
        <v>13</v>
      </c>
      <c r="Q64">
        <f>+Q60+Q62</f>
        <v>13</v>
      </c>
      <c r="R64">
        <f>+R60+R62</f>
        <v>13</v>
      </c>
      <c r="S64">
        <f>+S60+S62</f>
        <v>13</v>
      </c>
      <c r="T64">
        <f>+T60+T62</f>
        <v>13</v>
      </c>
      <c r="U64">
        <f>+U60+U62</f>
        <v>0</v>
      </c>
      <c r="V64">
        <f>+V60+V62</f>
        <v>0</v>
      </c>
      <c r="W64">
        <f>+W60+W62</f>
        <v>13</v>
      </c>
      <c r="X64">
        <f>+X60+X62</f>
        <v>13</v>
      </c>
      <c r="Y64">
        <f>+Y60+Y62</f>
        <v>13</v>
      </c>
      <c r="Z64">
        <f>+Z60+Z62</f>
        <v>13</v>
      </c>
      <c r="AA64">
        <f>+AA60+AA62</f>
        <v>13</v>
      </c>
      <c r="AB64">
        <f>+AB60+AB62</f>
        <v>0</v>
      </c>
      <c r="AC64">
        <f>+AC60+AC62</f>
        <v>0</v>
      </c>
      <c r="AD64">
        <f>+AD60+AD62</f>
        <v>13</v>
      </c>
      <c r="AE64">
        <f>+AE60+AE62</f>
        <v>13</v>
      </c>
      <c r="AF64">
        <f>+AF60+AF62</f>
        <v>13</v>
      </c>
      <c r="AG64">
        <f>+AG60+AG62</f>
        <v>13</v>
      </c>
      <c r="AH64">
        <f>+AH60+AH62</f>
        <v>13</v>
      </c>
    </row>
    <row r="65">
      <c r="A65" t="str">
        <v>Actual</v>
      </c>
      <c r="C65" t="str">
        <v>Actual</v>
      </c>
      <c r="E65">
        <f>+E60+E62</f>
        <v>13</v>
      </c>
      <c r="F65">
        <f>+F60+F62</f>
        <v>13</v>
      </c>
      <c r="G65">
        <f>+G60+G62</f>
        <v>0</v>
      </c>
      <c r="H65">
        <f>+H60+H62</f>
        <v>0</v>
      </c>
      <c r="I65">
        <f>+I60+I62</f>
        <v>13</v>
      </c>
      <c r="J65">
        <f>+J60+J62</f>
        <v>13</v>
      </c>
      <c r="K65">
        <f>+K60+K62</f>
        <v>13</v>
      </c>
      <c r="L65">
        <f>+L60+L62</f>
        <v>13</v>
      </c>
      <c r="M65">
        <f>+M60+M62</f>
        <v>13</v>
      </c>
      <c r="N65">
        <f>+N60+N62</f>
        <v>0</v>
      </c>
      <c r="O65">
        <f>+O60+O62</f>
        <v>0</v>
      </c>
      <c r="P65">
        <f>+P60+P62</f>
        <v>13</v>
      </c>
      <c r="Q65">
        <f>+Q60+Q62</f>
        <v>13</v>
      </c>
      <c r="R65">
        <v>13</v>
      </c>
      <c r="S65">
        <v>13</v>
      </c>
      <c r="T65">
        <v>13</v>
      </c>
      <c r="U65">
        <v>0</v>
      </c>
      <c r="V65">
        <v>0</v>
      </c>
      <c r="W65">
        <v>13</v>
      </c>
      <c r="X65">
        <v>13</v>
      </c>
      <c r="Y65">
        <v>13</v>
      </c>
      <c r="Z65">
        <v>13</v>
      </c>
      <c r="AA65">
        <v>13</v>
      </c>
    </row>
    <row r="66">
      <c r="A66" t="str">
        <v>In-Direct</v>
      </c>
      <c r="C66" t="str">
        <v>Cumm Plan</v>
      </c>
      <c r="E66">
        <f>+E60</f>
        <v>4</v>
      </c>
      <c r="F66">
        <f>+E66+F60</f>
        <v>8</v>
      </c>
      <c r="G66">
        <f>+F66+G60</f>
        <v>8</v>
      </c>
      <c r="H66">
        <f>+G66+H60</f>
        <v>8</v>
      </c>
      <c r="I66">
        <f>+H66+I60</f>
        <v>12</v>
      </c>
      <c r="J66">
        <f>+I66+J60</f>
        <v>16</v>
      </c>
      <c r="K66">
        <f>+J66+K60</f>
        <v>20</v>
      </c>
      <c r="L66">
        <f>+K66+L60</f>
        <v>24</v>
      </c>
      <c r="M66">
        <f>+L66+M60</f>
        <v>28</v>
      </c>
      <c r="N66">
        <f>+M66+N60</f>
        <v>28</v>
      </c>
      <c r="O66">
        <f>+N66+O60</f>
        <v>28</v>
      </c>
      <c r="P66">
        <f>+O66+P60</f>
        <v>32</v>
      </c>
      <c r="Q66">
        <f>+P66+Q60</f>
        <v>36</v>
      </c>
      <c r="R66">
        <f>+Q66+R60</f>
        <v>40</v>
      </c>
      <c r="S66">
        <f>+R66+S60</f>
        <v>44</v>
      </c>
      <c r="T66">
        <f>+S66+T60</f>
        <v>48</v>
      </c>
      <c r="U66">
        <f>+T66+U60</f>
        <v>48</v>
      </c>
      <c r="V66">
        <f>+U66+V60</f>
        <v>48</v>
      </c>
      <c r="W66">
        <f>+V66+W60</f>
        <v>52</v>
      </c>
      <c r="X66">
        <f>+W66+X60</f>
        <v>56</v>
      </c>
      <c r="Y66">
        <f>+X66+Y60</f>
        <v>60</v>
      </c>
      <c r="Z66">
        <f>+Y66+Z60</f>
        <v>64</v>
      </c>
      <c r="AA66">
        <f>+Z66+AA60</f>
        <v>68</v>
      </c>
      <c r="AB66">
        <f>+AA66+AB60</f>
        <v>68</v>
      </c>
      <c r="AC66">
        <f>+AB66+AC60</f>
        <v>68</v>
      </c>
      <c r="AD66">
        <f>+AC66+AD60</f>
        <v>72</v>
      </c>
      <c r="AE66">
        <f>+AD66+AE60</f>
        <v>76</v>
      </c>
      <c r="AF66">
        <f>+AE66+AF60</f>
        <v>80</v>
      </c>
      <c r="AG66">
        <f>+AF66+AG60</f>
        <v>84</v>
      </c>
      <c r="AH66">
        <f>+AG66+AH60</f>
        <v>88</v>
      </c>
    </row>
    <row r="67">
      <c r="C67" t="str">
        <v>Cumm Actual</v>
      </c>
      <c r="E67">
        <f>+E61</f>
        <v>4</v>
      </c>
      <c r="F67">
        <f>+E67+F61</f>
        <v>8</v>
      </c>
      <c r="G67">
        <f>+F67+G61</f>
        <v>8</v>
      </c>
      <c r="H67">
        <f>+G67+H61</f>
        <v>8</v>
      </c>
      <c r="I67">
        <f>+H67+I61</f>
        <v>12</v>
      </c>
      <c r="J67">
        <f>+I67+J61</f>
        <v>16</v>
      </c>
      <c r="K67">
        <f>+J67+K61</f>
        <v>20</v>
      </c>
      <c r="L67">
        <f>+K67+L61</f>
        <v>24</v>
      </c>
      <c r="M67">
        <f>+L67+M61</f>
        <v>28</v>
      </c>
      <c r="N67">
        <f>+M67+N61</f>
        <v>28</v>
      </c>
      <c r="O67">
        <f>+N67+O61</f>
        <v>28</v>
      </c>
      <c r="P67">
        <f>+O67+P61</f>
        <v>32</v>
      </c>
      <c r="Q67">
        <f>+P67+Q61</f>
        <v>36</v>
      </c>
      <c r="R67">
        <f>+Q67+R61</f>
        <v>40</v>
      </c>
      <c r="S67">
        <f>+R67+S61</f>
        <v>44</v>
      </c>
      <c r="T67">
        <f>+S67+T61</f>
        <v>48</v>
      </c>
      <c r="U67">
        <f>+T67+U61</f>
        <v>48</v>
      </c>
      <c r="V67">
        <f>+U67+V61</f>
        <v>48</v>
      </c>
      <c r="W67">
        <f>+V67+W61</f>
        <v>52</v>
      </c>
      <c r="X67">
        <f>+W67+X61</f>
        <v>56</v>
      </c>
      <c r="Y67">
        <f>+X67+Y61</f>
        <v>60</v>
      </c>
      <c r="Z67">
        <f>+Y67+Z61</f>
        <v>64</v>
      </c>
      <c r="AA67">
        <f>+Z67+AA61</f>
        <v>68</v>
      </c>
    </row>
    <row r="68">
      <c r="A68" t="str">
        <v>Direct</v>
      </c>
      <c r="C68" t="str">
        <v>Cumm Plan</v>
      </c>
      <c r="E68">
        <f>+E62</f>
        <v>9</v>
      </c>
      <c r="F68">
        <f>+E68+F62</f>
        <v>18</v>
      </c>
      <c r="G68">
        <f>+F68+G62</f>
        <v>18</v>
      </c>
      <c r="H68">
        <f>+G68+H62</f>
        <v>18</v>
      </c>
      <c r="I68">
        <f>+H68+I62</f>
        <v>27</v>
      </c>
      <c r="J68">
        <f>+I68+J62</f>
        <v>36</v>
      </c>
      <c r="K68">
        <f>+J68+K62</f>
        <v>45</v>
      </c>
      <c r="L68">
        <f>+K68+L62</f>
        <v>54</v>
      </c>
      <c r="M68">
        <f>+L68+M62</f>
        <v>63</v>
      </c>
      <c r="N68">
        <f>+M68+N62</f>
        <v>63</v>
      </c>
      <c r="O68">
        <f>+N68+O62</f>
        <v>63</v>
      </c>
      <c r="P68">
        <f>+O68+P62</f>
        <v>72</v>
      </c>
      <c r="Q68">
        <f>+P68+Q62</f>
        <v>81</v>
      </c>
      <c r="R68">
        <f>+Q68+R62</f>
        <v>90</v>
      </c>
      <c r="S68">
        <f>+R68+S62</f>
        <v>99</v>
      </c>
      <c r="T68">
        <f>+S68+T62</f>
        <v>108</v>
      </c>
      <c r="U68">
        <f>+T68+U62</f>
        <v>108</v>
      </c>
      <c r="V68">
        <f>+U68+V62</f>
        <v>108</v>
      </c>
      <c r="W68">
        <f>+V68+W62</f>
        <v>117</v>
      </c>
      <c r="X68">
        <f>+W68+X62</f>
        <v>126</v>
      </c>
      <c r="Y68">
        <f>+X68+Y62</f>
        <v>135</v>
      </c>
      <c r="Z68">
        <f>+Y68+Z62</f>
        <v>144</v>
      </c>
      <c r="AA68">
        <f>+Z68+AA62</f>
        <v>153</v>
      </c>
      <c r="AB68">
        <f>+AA68+AB62</f>
        <v>153</v>
      </c>
      <c r="AC68">
        <f>+AB68+AC62</f>
        <v>153</v>
      </c>
      <c r="AD68">
        <f>+AC68+AD62</f>
        <v>162</v>
      </c>
      <c r="AE68">
        <f>+AD68+AE62</f>
        <v>171</v>
      </c>
      <c r="AF68">
        <f>+AE68+AF62</f>
        <v>180</v>
      </c>
      <c r="AG68">
        <f>+AF68+AG62</f>
        <v>189</v>
      </c>
      <c r="AH68">
        <f>+AG68+AH62</f>
        <v>198</v>
      </c>
    </row>
    <row r="69">
      <c r="C69" t="str">
        <v>Cumm Actual</v>
      </c>
      <c r="E69">
        <f>+E63</f>
        <v>9</v>
      </c>
      <c r="F69">
        <f>+E69+F63</f>
        <v>18</v>
      </c>
      <c r="G69">
        <f>+F69+G63</f>
        <v>18</v>
      </c>
      <c r="H69">
        <f>+G69+H63</f>
        <v>18</v>
      </c>
      <c r="I69">
        <f>+H69+I63</f>
        <v>27</v>
      </c>
      <c r="J69">
        <f>+I69+J63</f>
        <v>36</v>
      </c>
      <c r="K69">
        <f>+J69+K63</f>
        <v>45</v>
      </c>
      <c r="L69">
        <f>+K69+L63</f>
        <v>54</v>
      </c>
      <c r="M69">
        <f>+L69+M63</f>
        <v>63</v>
      </c>
      <c r="N69">
        <f>+M69+N63</f>
        <v>72</v>
      </c>
      <c r="O69">
        <f>+N69+O63</f>
        <v>81</v>
      </c>
      <c r="P69">
        <f>+O69+P63</f>
        <v>90</v>
      </c>
      <c r="Q69">
        <f>+P69+Q63</f>
        <v>99</v>
      </c>
      <c r="R69">
        <f>+Q69+R63</f>
        <v>108</v>
      </c>
      <c r="S69">
        <f>+R69+S63</f>
        <v>117</v>
      </c>
      <c r="T69">
        <f>+S69+T63</f>
        <v>126</v>
      </c>
      <c r="U69">
        <f>+T69+U63</f>
        <v>126</v>
      </c>
      <c r="V69">
        <f>+U69+V63</f>
        <v>126</v>
      </c>
      <c r="W69">
        <f>+V69+W63</f>
        <v>135</v>
      </c>
      <c r="X69">
        <f>+W69+X63</f>
        <v>144</v>
      </c>
      <c r="Y69">
        <f>+X69+Y63</f>
        <v>153</v>
      </c>
      <c r="Z69">
        <f>+Y69+Z63</f>
        <v>162</v>
      </c>
      <c r="AA69">
        <f>+Z69+AA63</f>
        <v>171</v>
      </c>
    </row>
    <row r="70">
      <c r="A70" t="str">
        <v>Indirect</v>
      </c>
      <c r="C70" t="str">
        <v>Daily MH</v>
      </c>
      <c r="E70">
        <f>+E61*8</f>
        <v>32</v>
      </c>
      <c r="F70">
        <f>+F61*8</f>
        <v>32</v>
      </c>
      <c r="G70">
        <f>+G61*8</f>
        <v>0</v>
      </c>
      <c r="H70">
        <f>+H61*8</f>
        <v>0</v>
      </c>
      <c r="I70">
        <f>+I61*8</f>
        <v>32</v>
      </c>
      <c r="J70">
        <f>+J61*8</f>
        <v>32</v>
      </c>
      <c r="K70">
        <f>+K61*8</f>
        <v>32</v>
      </c>
      <c r="L70">
        <f>+L61*8</f>
        <v>32</v>
      </c>
      <c r="M70">
        <f>+M61*8</f>
        <v>32</v>
      </c>
      <c r="N70">
        <f>+N61*8</f>
        <v>0</v>
      </c>
      <c r="O70">
        <f>+O61*8</f>
        <v>0</v>
      </c>
      <c r="P70">
        <f>+P61*8</f>
        <v>32</v>
      </c>
      <c r="Q70">
        <f>+Q61*8</f>
        <v>32</v>
      </c>
      <c r="R70">
        <f>+R61*8</f>
        <v>32</v>
      </c>
      <c r="S70">
        <f>+S61*8</f>
        <v>32</v>
      </c>
      <c r="T70">
        <f>+T61*8</f>
        <v>32</v>
      </c>
      <c r="U70">
        <f>+U61*8</f>
        <v>0</v>
      </c>
      <c r="V70">
        <f>+V61*8</f>
        <v>0</v>
      </c>
      <c r="W70">
        <f>+W61*8</f>
        <v>32</v>
      </c>
      <c r="X70">
        <f>+X61*8</f>
        <v>32</v>
      </c>
      <c r="Y70">
        <f>+Y61*8</f>
        <v>32</v>
      </c>
      <c r="Z70">
        <f>+Z61*8</f>
        <v>32</v>
      </c>
      <c r="AA70">
        <f>+AA61*8</f>
        <v>32</v>
      </c>
    </row>
    <row r="71">
      <c r="C71" t="str">
        <v>Cumm MH</v>
      </c>
      <c r="E71">
        <f>+E70</f>
        <v>32</v>
      </c>
      <c r="F71">
        <f>+E71+F70</f>
        <v>64</v>
      </c>
      <c r="G71">
        <f>+F71+G70</f>
        <v>64</v>
      </c>
      <c r="H71">
        <f>+G71+H70</f>
        <v>64</v>
      </c>
      <c r="I71">
        <f>+H71+I70</f>
        <v>96</v>
      </c>
      <c r="J71">
        <f>+I71+J70</f>
        <v>128</v>
      </c>
      <c r="K71">
        <f>+J71+K70</f>
        <v>160</v>
      </c>
      <c r="L71">
        <f>+K71+L70</f>
        <v>192</v>
      </c>
      <c r="M71">
        <f>+L71+M70</f>
        <v>224</v>
      </c>
      <c r="N71">
        <f>+M71+N70</f>
        <v>224</v>
      </c>
      <c r="O71">
        <f>+N71+O70</f>
        <v>224</v>
      </c>
      <c r="P71">
        <f>+O71+P70</f>
        <v>256</v>
      </c>
      <c r="Q71">
        <f>+P71+Q70</f>
        <v>288</v>
      </c>
      <c r="R71">
        <f>+Q71+R70</f>
        <v>320</v>
      </c>
      <c r="S71">
        <f>+R71+S70</f>
        <v>352</v>
      </c>
      <c r="T71">
        <f>+S71+T70</f>
        <v>384</v>
      </c>
      <c r="U71">
        <f>+T71+U70</f>
        <v>384</v>
      </c>
      <c r="V71">
        <f>+U71+V70</f>
        <v>384</v>
      </c>
      <c r="W71">
        <f>+V71+W70</f>
        <v>416</v>
      </c>
      <c r="X71">
        <f>+W71+X70</f>
        <v>448</v>
      </c>
      <c r="Y71">
        <f>+X71+Y70</f>
        <v>480</v>
      </c>
      <c r="Z71">
        <f>+Y71+Z70</f>
        <v>512</v>
      </c>
      <c r="AA71">
        <f>+Z71+AA70</f>
        <v>544</v>
      </c>
    </row>
    <row r="72">
      <c r="A72" t="str">
        <v>Direct</v>
      </c>
      <c r="C72" t="str">
        <v>Daily MH</v>
      </c>
      <c r="E72">
        <f>+E63*8</f>
        <v>72</v>
      </c>
      <c r="F72">
        <f>+F63*8</f>
        <v>72</v>
      </c>
      <c r="G72">
        <f>+G63*8</f>
        <v>0</v>
      </c>
      <c r="H72">
        <f>+H63*8</f>
        <v>0</v>
      </c>
      <c r="I72">
        <f>+I63*8</f>
        <v>72</v>
      </c>
      <c r="J72">
        <f>+J63*8</f>
        <v>72</v>
      </c>
      <c r="K72">
        <f>+K63*8</f>
        <v>72</v>
      </c>
      <c r="L72">
        <f>+L63*8</f>
        <v>72</v>
      </c>
      <c r="M72">
        <f>+M63*8</f>
        <v>72</v>
      </c>
      <c r="N72">
        <f>+N63*8</f>
        <v>72</v>
      </c>
      <c r="O72">
        <f>+O63*8</f>
        <v>72</v>
      </c>
      <c r="P72">
        <f>+P63*8</f>
        <v>72</v>
      </c>
      <c r="Q72">
        <f>+Q63*8</f>
        <v>72</v>
      </c>
      <c r="R72">
        <f>+R63*8</f>
        <v>72</v>
      </c>
      <c r="S72">
        <f>+S63*8</f>
        <v>72</v>
      </c>
      <c r="T72">
        <f>+T63*8</f>
        <v>72</v>
      </c>
      <c r="U72">
        <f>+U63*8</f>
        <v>0</v>
      </c>
      <c r="V72">
        <f>+V63*8</f>
        <v>0</v>
      </c>
      <c r="W72">
        <f>+W63*8</f>
        <v>72</v>
      </c>
      <c r="X72">
        <f>+X63*8</f>
        <v>72</v>
      </c>
      <c r="Y72">
        <f>+Y63*8</f>
        <v>72</v>
      </c>
      <c r="Z72">
        <f>+Z63*8</f>
        <v>72</v>
      </c>
      <c r="AA72">
        <f>+AA63*8</f>
        <v>72</v>
      </c>
    </row>
    <row r="73">
      <c r="C73" t="str">
        <v>Cumm MH</v>
      </c>
      <c r="E73">
        <f>+E72</f>
        <v>72</v>
      </c>
      <c r="F73">
        <f>+E73+F72</f>
        <v>144</v>
      </c>
      <c r="G73">
        <f>+F73+G72</f>
        <v>144</v>
      </c>
      <c r="H73">
        <f>+G73+H72</f>
        <v>144</v>
      </c>
      <c r="I73">
        <f>+H73+I72</f>
        <v>216</v>
      </c>
      <c r="J73">
        <f>+I73+J72</f>
        <v>288</v>
      </c>
      <c r="K73">
        <f>+J73+K72</f>
        <v>360</v>
      </c>
      <c r="L73">
        <f>+K73+L72</f>
        <v>432</v>
      </c>
      <c r="M73">
        <f>+L73+M72</f>
        <v>504</v>
      </c>
      <c r="N73">
        <f>+M73+N72</f>
        <v>576</v>
      </c>
      <c r="O73">
        <f>+N73+O72</f>
        <v>648</v>
      </c>
      <c r="P73">
        <f>+O73+P72</f>
        <v>720</v>
      </c>
      <c r="Q73">
        <f>+P73+Q72</f>
        <v>792</v>
      </c>
      <c r="R73">
        <f>+Q73+R72</f>
        <v>864</v>
      </c>
      <c r="S73">
        <f>+R73+S72</f>
        <v>936</v>
      </c>
      <c r="T73">
        <f>+S73+T72</f>
        <v>1008</v>
      </c>
      <c r="U73">
        <f>+T73+U72</f>
        <v>1008</v>
      </c>
      <c r="V73">
        <f>+U73+V72</f>
        <v>1008</v>
      </c>
      <c r="W73">
        <f>+V73+W72</f>
        <v>1080</v>
      </c>
      <c r="X73">
        <f>+W73+X72</f>
        <v>1152</v>
      </c>
      <c r="Y73">
        <f>+X73+Y72</f>
        <v>1224</v>
      </c>
      <c r="Z73">
        <f>+Y73+Z72</f>
        <v>1296</v>
      </c>
      <c r="AA73">
        <f>+Z73+AA72</f>
        <v>1368</v>
      </c>
    </row>
    <row r="74">
      <c r="A74" t="str">
        <v>Total MH</v>
      </c>
      <c r="E74">
        <f>+E73+E71</f>
        <v>104</v>
      </c>
      <c r="F74">
        <f>+F73+F71</f>
        <v>208</v>
      </c>
      <c r="G74">
        <f>+G73+G71</f>
        <v>208</v>
      </c>
      <c r="H74">
        <f>+H73+H71</f>
        <v>208</v>
      </c>
      <c r="I74">
        <f>+I73+I71</f>
        <v>312</v>
      </c>
      <c r="J74">
        <f>+J73+J71</f>
        <v>416</v>
      </c>
      <c r="K74">
        <f>+K73+K71</f>
        <v>520</v>
      </c>
      <c r="L74">
        <f>+L73+L71</f>
        <v>624</v>
      </c>
      <c r="M74">
        <f>+M73+M71</f>
        <v>728</v>
      </c>
      <c r="N74">
        <f>+N73+N71</f>
        <v>800</v>
      </c>
      <c r="O74">
        <f>+O73+O71</f>
        <v>872</v>
      </c>
      <c r="P74">
        <f>+P73+P71</f>
        <v>976</v>
      </c>
      <c r="Q74">
        <f>+Q73+Q71</f>
        <v>1080</v>
      </c>
      <c r="R74">
        <f>+R73+R71</f>
        <v>1184</v>
      </c>
      <c r="S74">
        <f>+S73+S71</f>
        <v>1288</v>
      </c>
      <c r="T74">
        <f>+T73+T71</f>
        <v>1392</v>
      </c>
      <c r="U74">
        <f>+U73+U71</f>
        <v>1392</v>
      </c>
      <c r="V74">
        <f>+V73+V71</f>
        <v>1392</v>
      </c>
      <c r="W74">
        <f>+W73+W71</f>
        <v>1496</v>
      </c>
      <c r="X74">
        <f>+X73+X71</f>
        <v>1600</v>
      </c>
      <c r="Y74">
        <f>+Y73+Y71</f>
        <v>1704</v>
      </c>
      <c r="Z74">
        <f>+Z73+Z71</f>
        <v>1808</v>
      </c>
      <c r="AA74">
        <f>+AA73+AA71</f>
        <v>1912</v>
      </c>
    </row>
  </sheetData>
  <mergeCells count="6">
    <mergeCell ref="A7:A8"/>
    <mergeCell ref="A9:A10"/>
    <mergeCell ref="A11:A12"/>
    <mergeCell ref="D7:D8"/>
    <mergeCell ref="D9:D10"/>
    <mergeCell ref="D11:D12"/>
  </mergeCells>
  <pageMargins left="0.7" right="0.7" top="0.75" bottom="0.75" header="0.3" footer="0.3"/>
  <ignoredErrors>
    <ignoredError numberStoredAsText="1" sqref="A1:A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Summary1</vt:lpstr>
      <vt:lpstr>Bar Chart</vt:lpstr>
      <vt:lpstr>KPI Weightage Status</vt:lpstr>
      <vt:lpstr>KPIs Summary</vt:lpstr>
      <vt:lpstr>Progress Summary</vt:lpstr>
      <vt:lpstr>Detail.</vt:lpstr>
      <vt:lpstr>Time Sheet</vt:lpstr>
      <vt:lpstr>Today Jobs</vt:lpstr>
      <vt:lpstr>HSE KPI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2026-04-01T10:20:00Z</dcterms:created>
  <dcterms:modified xsi:type="dcterms:W3CDTF">2026-09-06T09:19:54Z</dcterms:modified>
  <cp:lastModifiedBy>Execution Deo</cp:lastModifiedBy>
  <cp:lastPrinted>2026-08-10T12:22:09Z</cp:lastPrinted>
  <dc:creator>Abdul Haseeb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168b40-32ba-4fa6-800d-bc9a85897d31_Enabled">
    <vt:lpwstr>true</vt:lpwstr>
  </property>
  <property fmtid="{D5CDD505-2E9C-101B-9397-08002B2CF9AE}" pid="3" name="MSIP_Label_86168b40-32ba-4fa6-800d-bc9a85897d31_SetDate">
    <vt:lpwstr>2026-07-09T11:57:37Z</vt:lpwstr>
  </property>
  <property fmtid="{D5CDD505-2E9C-101B-9397-08002B2CF9AE}" pid="4" name="MSIP_Label_86168b40-32ba-4fa6-800d-bc9a85897d31_Method">
    <vt:lpwstr>Privileged</vt:lpwstr>
  </property>
  <property fmtid="{D5CDD505-2E9C-101B-9397-08002B2CF9AE}" pid="5" name="MSIP_Label_86168b40-32ba-4fa6-800d-bc9a85897d31_Name">
    <vt:lpwstr>Unclassified-Doc</vt:lpwstr>
  </property>
  <property fmtid="{D5CDD505-2E9C-101B-9397-08002B2CF9AE}" pid="6" name="MSIP_Label_86168b40-32ba-4fa6-800d-bc9a85897d31_SiteId">
    <vt:lpwstr>b8ad8656-3bdc-47ec-b9b4-84a142b7e134</vt:lpwstr>
  </property>
  <property fmtid="{D5CDD505-2E9C-101B-9397-08002B2CF9AE}" pid="7" name="MSIP_Label_86168b40-32ba-4fa6-800d-bc9a85897d31_ActionId">
    <vt:lpwstr>3b7d26c1-879b-4fbe-b03e-55f226fb672a</vt:lpwstr>
  </property>
  <property fmtid="{D5CDD505-2E9C-101B-9397-08002B2CF9AE}" pid="8" name="MSIP_Label_86168b40-32ba-4fa6-800d-bc9a85897d31_ContentBits">
    <vt:lpwstr>0</vt:lpwstr>
  </property>
  <property fmtid="{D5CDD505-2E9C-101B-9397-08002B2CF9AE}" pid="9" name="MSIP_Label_86168b40-32ba-4fa6-800d-bc9a85897d31_Tag">
    <vt:lpwstr>10, 0, 1, 1</vt:lpwstr>
  </property>
</Properties>
</file>