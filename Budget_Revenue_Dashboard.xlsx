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structions" sheetId="1" state="visible" r:id="rId3"/>
    <sheet name="Setup" sheetId="2" state="visible" r:id="rId4"/>
    <sheet name="Monthly Tracking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<sst xmlns="http://schemas.openxmlformats.org/spreadsheetml/2006/main" count="90" uniqueCount="86">
  <si>
    <t xml:space="preserve">Budget &amp; Revenue Monitoring Dashboard</t>
  </si>
  <si>
    <t xml:space="preserve">Track project budget consumption, revenue, and Earned Value (EVM) in one workbook.</t>
  </si>
  <si>
    <t xml:space="preserve">How this workbook is organized</t>
  </si>
  <si>
    <t xml:space="preserve">Setup</t>
  </si>
  <si>
    <t xml:space="preserve">Enter your project name, total approved budget (BAC), total contract/expected revenue, and project dates. Everything else calculates from these.</t>
  </si>
  <si>
    <t xml:space="preserve">Monthly Tracking</t>
  </si>
  <si>
    <t xml:space="preserve">Enter ONE row per month: planned % complete, actual % complete, consumed budget (actual cost) for the month, and revenue invoiced/received for the month. All Earned Value metrics (PV, EV, AC, CV, SV, CPI, SPI) and profit figures calculate automatically.</t>
  </si>
  <si>
    <t xml:space="preserve">Dashboard</t>
  </si>
  <si>
    <t xml:space="preserve">Live KPI cards and charts pulled from Monthly Tracking - Budget vs Consumed vs Revenue, the EVM S-curve (PV/EV/AC), CPI &amp; SPI trend, and cumulative profit. Nothing to edit here.</t>
  </si>
  <si>
    <t xml:space="preserve">Color legend</t>
  </si>
  <si>
    <t xml:space="preserve">Blue text on yellow fill</t>
  </si>
  <si>
    <t xml:space="preserve">Cells you fill in (inputs).</t>
  </si>
  <si>
    <t xml:space="preserve">Black text</t>
  </si>
  <si>
    <t xml:space="preserve">Formulas - do not overwrite, they recalculate automatically.</t>
  </si>
  <si>
    <t xml:space="preserve">Green text</t>
  </si>
  <si>
    <t xml:space="preserve">Links pulling values from another sheet.</t>
  </si>
  <si>
    <t xml:space="preserve">Key terms (Earned Value Management)</t>
  </si>
  <si>
    <t xml:space="preserve">PV - Planned Value</t>
  </si>
  <si>
    <t xml:space="preserve">Budgeted cost of work that SHOULD be done by now = Total Budget x Planned % Complete.</t>
  </si>
  <si>
    <t xml:space="preserve">EV - Earned Value</t>
  </si>
  <si>
    <t xml:space="preserve">Budgeted cost of work ACTUALLY done = Total Budget x Actual % Complete. This is your project's 'earned value'.</t>
  </si>
  <si>
    <t xml:space="preserve">AC - Actual Cost</t>
  </si>
  <si>
    <t xml:space="preserve">Money actually spent so far = Consumed Budget (cumulative).</t>
  </si>
  <si>
    <t xml:space="preserve">CV - Cost Variance</t>
  </si>
  <si>
    <t xml:space="preserve">EV - AC. Positive = under budget for the work completed. Negative = overspending.</t>
  </si>
  <si>
    <t xml:space="preserve">SV - Schedule Variance</t>
  </si>
  <si>
    <t xml:space="preserve">EV - PV. Positive = ahead of schedule. Negative = behind schedule.</t>
  </si>
  <si>
    <t xml:space="preserve">CPI - Cost Performance Index</t>
  </si>
  <si>
    <t xml:space="preserve">EV / AC. Above 1.00 = spending efficiently. Below 1.00 = over budget for work done.</t>
  </si>
  <si>
    <t xml:space="preserve">SPI - Schedule Performance Index</t>
  </si>
  <si>
    <t xml:space="preserve">EV / PV. Above 1.00 = ahead of schedule. Below 1.00 = behind schedule.</t>
  </si>
  <si>
    <t xml:space="preserve">Revenue vs Consumed Budget</t>
  </si>
  <si>
    <t xml:space="preserve">Revenue (invoiced/earned) minus Consumed Budget (actual cost) = Gross Profit for the project to date.</t>
  </si>
  <si>
    <t xml:space="preserve">To start</t>
  </si>
  <si>
    <t xml:space="preserve">Go to the 'Setup' sheet and enter your project details, then open 'Monthly Tracking' and replace the sample rows (highlighted) with your own months and figures.</t>
  </si>
  <si>
    <t xml:space="preserve">Project Setup</t>
  </si>
  <si>
    <t xml:space="preserve">Fill in the yellow cells. These values drive every calculation in the workbook.</t>
  </si>
  <si>
    <t xml:space="preserve">Project Name</t>
  </si>
  <si>
    <t xml:space="preserve">Riverside Client Portal</t>
  </si>
  <si>
    <t xml:space="preserve">Free text label shown on the Dashboard.</t>
  </si>
  <si>
    <t xml:space="preserve">Currency</t>
  </si>
  <si>
    <t xml:space="preserve">USD</t>
  </si>
  <si>
    <t xml:space="preserve">Label only, e.g. USD, EUR, BDT.</t>
  </si>
  <si>
    <t xml:space="preserve">Project Start Date</t>
  </si>
  <si>
    <t xml:space="preserve">First month of the project.</t>
  </si>
  <si>
    <t xml:space="preserve">Planned End Date</t>
  </si>
  <si>
    <t xml:space="preserve">Scheduled completion date.</t>
  </si>
  <si>
    <t xml:space="preserve">Total Approved Budget (BAC)</t>
  </si>
  <si>
    <t xml:space="preserve">Budget at Completion - total approved project budget.</t>
  </si>
  <si>
    <t xml:space="preserve">Total Contract / Expected Revenue</t>
  </si>
  <si>
    <t xml:space="preserve">Total revenue you expect to invoice/earn for this project.</t>
  </si>
  <si>
    <t xml:space="preserve">Monthly Budget, Revenue &amp; Earned Value Tracking</t>
  </si>
  <si>
    <t xml:space="preserve">Enter your own months and figures in the yellow columns (A-D, F). Everything else is calculated.</t>
  </si>
  <si>
    <t xml:space="preserve">Month</t>
  </si>
  <si>
    <t xml:space="preserve">Planned % Complete
(cumulative)</t>
  </si>
  <si>
    <t xml:space="preserve">Actual % Complete
(cumulative)</t>
  </si>
  <si>
    <t xml:space="preserve">Consumed Budget
this month (Actual Cost)</t>
  </si>
  <si>
    <t xml:space="preserve">Consumed Budget
cumulative (AC)</t>
  </si>
  <si>
    <t xml:space="preserve">Revenue Invoiced
this month</t>
  </si>
  <si>
    <t xml:space="preserve">Revenue
cumulative</t>
  </si>
  <si>
    <t xml:space="preserve">Planned Value
(PV)</t>
  </si>
  <si>
    <t xml:space="preserve">Earned Value
(EV)</t>
  </si>
  <si>
    <t xml:space="preserve">Cost Variance
(CV = EV-AC)</t>
  </si>
  <si>
    <t xml:space="preserve">Schedule Variance
(SV = EV-PV)</t>
  </si>
  <si>
    <t xml:space="preserve">CPI
(EV/AC)</t>
  </si>
  <si>
    <t xml:space="preserve">SPI
(EV/PV)</t>
  </si>
  <si>
    <t xml:space="preserve">Gross Profit
(Revenue - AC)</t>
  </si>
  <si>
    <t xml:space="preserve">Profit Margin %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</si>
  <si>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</si>
  <si>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</si>
  <si>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</si>
  <si>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</si>
  <si>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</si>
  <si>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</si>
  <si>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Latest (Project-to-date)</t>
  </si>
  <si>
    <t xml:space="preserve">Project Dashboard</t>
  </si>
  <si>
    <t xml:space="preserve">Total Budget (BAC)</t>
  </si>
  <si>
    <t xml:space="preserve">Consumed Budget (AC)</t>
  </si>
  <si>
    <t xml:space="preserve">Revenue Earned</t>
  </si>
  <si>
    <t xml:space="preserve">Gross Profit</t>
  </si>
  <si>
    <t xml:space="preserve">Earned Value (EV)</t>
  </si>
  <si>
    <t xml:space="preserve">Cost Variance (CV)</t>
  </si>
  <si>
    <t xml:space="preserve">CPI (Cost Perf. Index)</t>
  </si>
  <si>
    <t xml:space="preserve">SPI (Sched. Perf. Index)</t>
  </si>
  <si>
    <t xml:space="preserve">Month-by-Month Comparison</t>
  </si>
  <si>
    <t xml:space="preserve">Planned Value (PV)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</si>
</sst>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$#,##0;&quot;($&quot;#,##0\);\-"/>
    <numFmt numFmtId="167" formatCode="0.0%;\(0.0%\);\-"/>
    <numFmt numFmtId="168" formatCode="0.00;\(0.0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F7FAFC"/>
        <bgColor rgb="FFF9F9F9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AFC"/>
      <rgbColor rgb="FFC6EFCE"/>
      <rgbColor rgb="FFF9F9F9"/>
      <rgbColor rgb="FFB7C6D9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 Consumed vs Revenue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Dashboard!C13</c:f>
              <c:strCache>
                <c:ptCount val="1"/>
                <c:pt idx="0">
                  <c:v>Planned Value (PV)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Dashboard!$B$14:$B$19</c:f>
              <c:strCache>
                <c:ptCount val="6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</c:strCache>
            </c:strRef>
          </c:cat>
          <c:val>
            <c:numRef>
              <c:f>Dashboard!$C$14:$C$19</c:f>
              <c:numCache>
                <c:formatCode>\$#,##0;"($"#,##0\);\-</c:formatCode>
                <c:ptCount val="6"/>
                <c:pt idx="0">
                  <c:v>19200</c:v>
                </c:pt>
                <c:pt idx="1">
                  <c:v>40800</c:v>
                </c:pt>
                <c:pt idx="2">
                  <c:v>60000</c:v>
                </c:pt>
                <c:pt idx="3">
                  <c:v>84000</c:v>
                </c:pt>
                <c:pt idx="4">
                  <c:v>108000</c:v>
                </c:pt>
                <c:pt idx="5">
                  <c:v>132000</c:v>
                </c:pt>
              </c:numCache>
            </c:numRef>
          </c:val>
        </c:ser>
        <c:ser>
          <c:idx val="1"/>
          <c:order val="1"/>
          <c:tx>
            <c:strRef>
              <c:f>Dashboard!D13</c:f>
              <c:strCache>
                <c:ptCount val="1"/>
                <c:pt idx="0">
                  <c:v>Consumed Budget (AC)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Dashboard!$B$14:$B$19</c:f>
              <c:strCache>
                <c:ptCount val="6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</c:strCache>
            </c:strRef>
          </c:cat>
          <c:val>
            <c:numRef>
              <c:f>Dashboard!$D$14:$D$19</c:f>
              <c:numCache>
                <c:formatCode>\$#,##0;"($"#,##0\);\-</c:formatCode>
                <c:ptCount val="6"/>
                <c:pt idx="0">
                  <c:v>18000</c:v>
                </c:pt>
                <c:pt idx="1">
                  <c:v>38000</c:v>
                </c:pt>
                <c:pt idx="2">
                  <c:v>57500</c:v>
                </c:pt>
                <c:pt idx="3">
                  <c:v>78500</c:v>
                </c:pt>
                <c:pt idx="4">
                  <c:v>99000</c:v>
                </c:pt>
                <c:pt idx="5">
                  <c:v>121000</c:v>
                </c:pt>
              </c:numCache>
            </c:numRef>
          </c:val>
        </c:ser>
        <c:ser>
          <c:idx val="2"/>
          <c:order val="2"/>
          <c:tx>
            <c:strRef>
              <c:f>Dashboard!E13</c:f>
              <c:strCache>
                <c:ptCount val="1"/>
                <c:pt idx="0">
                  <c:v>Revenue Earned</c:v>
                </c:pt>
              </c:strCache>
            </c:strRef>
          </c:tx>
          <c:spPr>
            <a:solidFill>
              <a:srgbClr val="54823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Dashboard!$B$14:$B$19</c:f>
              <c:strCache>
                <c:ptCount val="6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</c:strCache>
            </c:strRef>
          </c:cat>
          <c:val>
            <c:numRef>
              <c:f>Dashboard!$E$14:$E$19</c:f>
              <c:numCache>
                <c:formatCode>\$#,##0;"($"#,##0\);\-</c:formatCode>
                <c:ptCount val="6"/>
                <c:pt idx="0">
                  <c:v>22000</c:v>
                </c:pt>
                <c:pt idx="1">
                  <c:v>47000</c:v>
                </c:pt>
                <c:pt idx="2">
                  <c:v>71000</c:v>
                </c:pt>
                <c:pt idx="3">
                  <c:v>91000</c:v>
                </c:pt>
                <c:pt idx="4">
                  <c:v>117000</c:v>
                </c:pt>
                <c:pt idx="5">
                  <c:v>145000</c:v>
                </c:pt>
              </c:numCache>
            </c:numRef>
          </c:val>
        </c:ser>
        <c:gapWidth val="150"/>
        <c:overlap val="0"/>
        <c:axId val="43629784"/>
        <c:axId val="12931385"/>
      </c:barChart>
      <c:catAx>
        <c:axId val="436297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931385"/>
        <c:crosses val="autoZero"/>
        <c:auto val="1"/>
        <c:lblAlgn val="ctr"/>
        <c:lblOffset val="100"/>
        <c:noMultiLvlLbl val="0"/>
      </c:catAx>
      <c:valAx>
        <c:axId val="129313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6297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Earned Value S-Curve (PV vs EV vs AC, cumulative)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Dashboard!C13</c:f>
              <c:strCache>
                <c:ptCount val="1"/>
                <c:pt idx="0">
                  <c:v>Planned Value (PV)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Dashboard!$B$14:$B$19</c:f>
              <c:strCache>
                <c:ptCount val="6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</c:strCache>
            </c:strRef>
          </c:cat>
          <c:val>
            <c:numRef>
              <c:f>Dashboard!$C$14:$C$19</c:f>
              <c:numCache>
                <c:formatCode>\$#,##0;"($"#,##0\);\-</c:formatCode>
                <c:ptCount val="6"/>
                <c:pt idx="0">
                  <c:v>19200</c:v>
                </c:pt>
                <c:pt idx="1">
                  <c:v>40800</c:v>
                </c:pt>
                <c:pt idx="2">
                  <c:v>60000</c:v>
                </c:pt>
                <c:pt idx="3">
                  <c:v>84000</c:v>
                </c:pt>
                <c:pt idx="4">
                  <c:v>108000</c:v>
                </c:pt>
                <c:pt idx="5">
                  <c:v>132000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Dashboard!D13</c:f>
              <c:strCache>
                <c:ptCount val="1"/>
                <c:pt idx="0">
                  <c:v>Consumed Budget (AC)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Dashboard!$B$14:$B$19</c:f>
              <c:strCache>
                <c:ptCount val="6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</c:strCache>
            </c:strRef>
          </c:cat>
          <c:val>
            <c:numRef>
              <c:f>Dashboard!$D$14:$D$19</c:f>
              <c:numCache>
                <c:formatCode>\$#,##0;"($"#,##0\);\-</c:formatCode>
                <c:ptCount val="6"/>
                <c:pt idx="0">
                  <c:v>18000</c:v>
                </c:pt>
                <c:pt idx="1">
                  <c:v>38000</c:v>
                </c:pt>
                <c:pt idx="2">
                  <c:v>57500</c:v>
                </c:pt>
                <c:pt idx="3">
                  <c:v>78500</c:v>
                </c:pt>
                <c:pt idx="4">
                  <c:v>99000</c:v>
                </c:pt>
                <c:pt idx="5">
                  <c:v>121000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Dashboard!F13</c:f>
              <c:strCache>
                <c:ptCount val="1"/>
                <c:pt idx="0">
                  <c:v>Earned Value (EV)</c:v>
                </c:pt>
              </c:strCache>
            </c:strRef>
          </c:tx>
          <c:spPr>
            <a:solidFill>
              <a:srgbClr val="548235"/>
            </a:solidFill>
            <a:ln w="21960">
              <a:solidFill>
                <a:srgbClr val="548235"/>
              </a:solidFill>
              <a:round/>
            </a:ln>
          </c:spPr>
          <c:marker>
            <c:symbol val="circle"/>
            <c:size val="5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Dashboard!$B$14:$B$19</c:f>
              <c:strCache>
                <c:ptCount val="6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</c:strCache>
            </c:strRef>
          </c:cat>
          <c:val>
            <c:numRef>
              <c:f>Dashboard!$F$14:$F$19</c:f>
              <c:numCache>
                <c:formatCode>\$#,##0;"($"#,##0\);\-</c:formatCode>
                <c:ptCount val="6"/>
                <c:pt idx="0">
                  <c:v>16800</c:v>
                </c:pt>
                <c:pt idx="1">
                  <c:v>36000</c:v>
                </c:pt>
                <c:pt idx="2">
                  <c:v>57600</c:v>
                </c:pt>
                <c:pt idx="3">
                  <c:v>72000</c:v>
                </c:pt>
                <c:pt idx="4">
                  <c:v>96000</c:v>
                </c:pt>
                <c:pt idx="5">
                  <c:v>124800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060109"/>
        <c:axId val="18775697"/>
      </c:lineChart>
      <c:catAx>
        <c:axId val="60601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775697"/>
        <c:crosses val="autoZero"/>
        <c:auto val="1"/>
        <c:lblAlgn val="ctr"/>
        <c:lblOffset val="100"/>
        <c:noMultiLvlLbl val="0"/>
      </c:catAx>
      <c:valAx>
        <c:axId val="187756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601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&amp; Schedule Performance Index (CPI / SPI)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Tracking'!L5</c:f>
              <c:strCache>
                <c:ptCount val="1"/>
                <c:pt idx="0">
                  <c:v>CPI
(EV/AC)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Tracking'!$A$6:$A$11</c:f>
              <c:strCache>
                <c:ptCount val="6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</c:strCache>
            </c:strRef>
          </c:cat>
          <c:val>
            <c:numRef>
              <c:f>'Monthly Tracking'!$L$6:$L$11</c:f>
              <c:numCache>
                <c:formatCode>0.00;\(0.00\);\-</c:formatCode>
                <c:ptCount val="6"/>
                <c:pt idx="0">
                  <c:v>0.933333333333333</c:v>
                </c:pt>
                <c:pt idx="1">
                  <c:v>0.947368421052632</c:v>
                </c:pt>
                <c:pt idx="2">
                  <c:v>1.00173913043478</c:v>
                </c:pt>
                <c:pt idx="3">
                  <c:v>0.917197452229299</c:v>
                </c:pt>
                <c:pt idx="4">
                  <c:v>0.96969696969697</c:v>
                </c:pt>
                <c:pt idx="5">
                  <c:v>1.03140495867769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Tracking'!M5</c:f>
              <c:strCache>
                <c:ptCount val="1"/>
                <c:pt idx="0">
                  <c:v>SPI
(EV/PV)</c:v>
                </c:pt>
              </c:strCache>
            </c:strRef>
          </c:tx>
          <c:spPr>
            <a:solidFill>
              <a:srgbClr val="548235"/>
            </a:solidFill>
            <a:ln w="21960">
              <a:solidFill>
                <a:srgbClr val="548235"/>
              </a:solidFill>
              <a:round/>
            </a:ln>
          </c:spPr>
          <c:marker>
            <c:symbol val="circle"/>
            <c:size val="5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Tracking'!$A$6:$A$11</c:f>
              <c:strCache>
                <c:ptCount val="6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</c:strCache>
            </c:strRef>
          </c:cat>
          <c:val>
            <c:numRef>
              <c:f>'Monthly Tracking'!$M$6:$M$11</c:f>
              <c:numCache>
                <c:formatCode>0.00;\(0.00\);\-</c:formatCode>
                <c:ptCount val="6"/>
                <c:pt idx="0">
                  <c:v>0.875</c:v>
                </c:pt>
                <c:pt idx="1">
                  <c:v>0.882352941176471</c:v>
                </c:pt>
                <c:pt idx="2">
                  <c:v>0.96</c:v>
                </c:pt>
                <c:pt idx="3">
                  <c:v>0.857142857142857</c:v>
                </c:pt>
                <c:pt idx="4">
                  <c:v>0.888888888888889</c:v>
                </c:pt>
                <c:pt idx="5">
                  <c:v>0.945454545454545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0063864"/>
        <c:axId val="71231270"/>
      </c:lineChart>
      <c:catAx>
        <c:axId val="600638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31270"/>
        <c:crosses val="autoZero"/>
        <c:auto val="1"/>
        <c:lblAlgn val="ctr"/>
        <c:lblOffset val="100"/>
        <c:noMultiLvlLbl val="0"/>
      </c:catAx>
      <c:valAx>
        <c:axId val="712312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 (1.00 = on target)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\(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638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140760</xdr:rowOff>
    </xdr:from>
    <xdr:to>
      <xdr:col>7</xdr:col>
      <xdr:colOff>105120</xdr:colOff>
      <xdr:row>36</xdr:row>
      <xdr:rowOff>141840</xdr:rowOff>
    </xdr:to>
    <xdr:graphicFrame>
      <xdr:nvGraphicFramePr>
        <xdr:cNvPr id="0" name="Chart 1"/>
        <xdr:cNvGraphicFramePr/>
      </xdr:nvGraphicFramePr>
      <xdr:xfrm>
        <a:off x="266760" y="426708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38</xdr:row>
      <xdr:rowOff>141120</xdr:rowOff>
    </xdr:from>
    <xdr:to>
      <xdr:col>7</xdr:col>
      <xdr:colOff>105120</xdr:colOff>
      <xdr:row>55</xdr:row>
      <xdr:rowOff>142200</xdr:rowOff>
    </xdr:to>
    <xdr:graphicFrame>
      <xdr:nvGraphicFramePr>
        <xdr:cNvPr id="1" name="Chart 2"/>
        <xdr:cNvGraphicFramePr/>
      </xdr:nvGraphicFramePr>
      <xdr:xfrm>
        <a:off x="266760" y="788688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57</xdr:row>
      <xdr:rowOff>141120</xdr:rowOff>
    </xdr:from>
    <xdr:to>
      <xdr:col>7</xdr:col>
      <xdr:colOff>105120</xdr:colOff>
      <xdr:row>74</xdr:row>
      <xdr:rowOff>142200</xdr:rowOff>
    </xdr:to>
    <xdr:graphicFrame>
      <xdr:nvGraphicFramePr>
        <xdr:cNvPr id="2" name="Chart 3"/>
        <xdr:cNvGraphicFramePr/>
      </xdr:nvGraphicFramePr>
      <xdr:xfrm>
        <a:off x="266760" y="1150632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B2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95"/>
  </cols>
  <sheetData>
    <row r="2" customFormat="false" ht="22.05" hidden="false" customHeight="fals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27.75" hidden="false" customHeight="true" outlineLevel="0" collapsed="false">
      <c r="B5" s="3" t="s">
        <v>2</v>
      </c>
    </row>
    <row r="6" customFormat="false" ht="27.75" hidden="false" customHeight="true" outlineLevel="0" collapsed="false">
      <c r="B6" s="4" t="s">
        <v>3</v>
      </c>
      <c r="C6" s="5" t="s">
        <v>4</v>
      </c>
    </row>
    <row r="7" customFormat="false" ht="27.75" hidden="false" customHeight="true" outlineLevel="0" collapsed="false">
      <c r="B7" s="4" t="s">
        <v>5</v>
      </c>
      <c r="C7" s="5" t="s">
        <v>6</v>
      </c>
    </row>
    <row r="8" customFormat="false" ht="27.75" hidden="false" customHeight="true" outlineLevel="0" collapsed="false">
      <c r="B8" s="4" t="s">
        <v>7</v>
      </c>
      <c r="C8" s="5" t="s">
        <v>8</v>
      </c>
    </row>
    <row r="9" customFormat="false" ht="27.75" hidden="false" customHeight="true" outlineLevel="0" collapsed="false"/>
    <row r="10" customFormat="false" ht="27.75" hidden="false" customHeight="true" outlineLevel="0" collapsed="false">
      <c r="B10" s="3" t="s">
        <v>9</v>
      </c>
    </row>
    <row r="11" customFormat="false" ht="27.75" hidden="false" customHeight="true" outlineLevel="0" collapsed="false">
      <c r="B11" s="4" t="s">
        <v>10</v>
      </c>
      <c r="C11" s="5" t="s">
        <v>11</v>
      </c>
    </row>
    <row r="12" customFormat="false" ht="27.75" hidden="false" customHeight="true" outlineLevel="0" collapsed="false">
      <c r="B12" s="4" t="s">
        <v>12</v>
      </c>
      <c r="C12" s="5" t="s">
        <v>13</v>
      </c>
    </row>
    <row r="13" customFormat="false" ht="27.75" hidden="false" customHeight="true" outlineLevel="0" collapsed="false">
      <c r="B13" s="4" t="s">
        <v>14</v>
      </c>
      <c r="C13" s="5" t="s">
        <v>15</v>
      </c>
    </row>
    <row r="14" customFormat="false" ht="27.75" hidden="false" customHeight="true" outlineLevel="0" collapsed="false"/>
    <row r="15" customFormat="false" ht="27.75" hidden="false" customHeight="true" outlineLevel="0" collapsed="false">
      <c r="B15" s="3" t="s">
        <v>16</v>
      </c>
    </row>
    <row r="16" customFormat="false" ht="27.75" hidden="false" customHeight="true" outlineLevel="0" collapsed="false">
      <c r="B16" s="4" t="s">
        <v>17</v>
      </c>
      <c r="C16" s="5" t="s">
        <v>18</v>
      </c>
    </row>
    <row r="17" customFormat="false" ht="27.75" hidden="false" customHeight="true" outlineLevel="0" collapsed="false">
      <c r="B17" s="4" t="s">
        <v>19</v>
      </c>
      <c r="C17" s="5" t="s">
        <v>20</v>
      </c>
    </row>
    <row r="18" customFormat="false" ht="27.75" hidden="false" customHeight="true" outlineLevel="0" collapsed="false">
      <c r="B18" s="4" t="s">
        <v>21</v>
      </c>
      <c r="C18" s="5" t="s">
        <v>22</v>
      </c>
    </row>
    <row r="19" customFormat="false" ht="27.75" hidden="false" customHeight="true" outlineLevel="0" collapsed="false">
      <c r="B19" s="4" t="s">
        <v>23</v>
      </c>
      <c r="C19" s="5" t="s">
        <v>24</v>
      </c>
    </row>
    <row r="20" customFormat="false" ht="27.75" hidden="false" customHeight="true" outlineLevel="0" collapsed="false">
      <c r="B20" s="4" t="s">
        <v>25</v>
      </c>
      <c r="C20" s="5" t="s">
        <v>26</v>
      </c>
    </row>
    <row r="21" customFormat="false" ht="27.75" hidden="false" customHeight="true" outlineLevel="0" collapsed="false">
      <c r="B21" s="4" t="s">
        <v>27</v>
      </c>
      <c r="C21" s="5" t="s">
        <v>28</v>
      </c>
    </row>
    <row r="22" customFormat="false" ht="27.75" hidden="false" customHeight="true" outlineLevel="0" collapsed="false">
      <c r="B22" s="4" t="s">
        <v>29</v>
      </c>
      <c r="C22" s="5" t="s">
        <v>30</v>
      </c>
    </row>
    <row r="23" customFormat="false" ht="27.75" hidden="false" customHeight="true" outlineLevel="0" collapsed="false">
      <c r="B23" s="4" t="s">
        <v>31</v>
      </c>
      <c r="C23" s="5" t="s">
        <v>32</v>
      </c>
    </row>
    <row r="24" customFormat="false" ht="27.75" hidden="false" customHeight="true" outlineLevel="0" collapsed="false"/>
    <row r="25" customFormat="false" ht="27.75" hidden="false" customHeight="true" outlineLevel="0" collapsed="false">
      <c r="B25" s="4" t="s">
        <v>33</v>
      </c>
      <c r="C25" s="5" t="s">
        <v>34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2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55"/>
  </cols>
  <sheetData>
    <row r="2" customFormat="false" ht="22.05" hidden="false" customHeight="false" outlineLevel="0" collapsed="false">
      <c r="B2" s="1" t="s">
        <v>35</v>
      </c>
      <c r="C2" s="1"/>
      <c r="D2" s="1"/>
    </row>
    <row r="3" customFormat="false" ht="15" hidden="false" customHeight="false" outlineLevel="0" collapsed="false">
      <c r="B3" s="2" t="s">
        <v>36</v>
      </c>
      <c r="C3" s="2"/>
      <c r="D3" s="2"/>
    </row>
    <row r="5" customFormat="false" ht="21.75" hidden="false" customHeight="true" outlineLevel="0" collapsed="false">
      <c r="B5" s="6" t="s">
        <v>37</v>
      </c>
      <c r="C5" s="7" t="s">
        <v>38</v>
      </c>
      <c r="D5" s="8" t="s">
        <v>39</v>
      </c>
    </row>
    <row r="6" customFormat="false" ht="21.75" hidden="false" customHeight="true" outlineLevel="0" collapsed="false">
      <c r="B6" s="6" t="s">
        <v>40</v>
      </c>
      <c r="C6" s="7" t="s">
        <v>41</v>
      </c>
      <c r="D6" s="8" t="s">
        <v>42</v>
      </c>
    </row>
    <row r="7" customFormat="false" ht="21.75" hidden="false" customHeight="true" outlineLevel="0" collapsed="false">
      <c r="B7" s="6" t="s">
        <v>43</v>
      </c>
      <c r="C7" s="9" t="n">
        <v>46023</v>
      </c>
      <c r="D7" s="8" t="s">
        <v>44</v>
      </c>
    </row>
    <row r="8" customFormat="false" ht="21.75" hidden="false" customHeight="true" outlineLevel="0" collapsed="false">
      <c r="B8" s="6" t="s">
        <v>45</v>
      </c>
      <c r="C8" s="9" t="n">
        <v>46387</v>
      </c>
      <c r="D8" s="8" t="s">
        <v>46</v>
      </c>
    </row>
    <row r="9" customFormat="false" ht="21.75" hidden="false" customHeight="true" outlineLevel="0" collapsed="false">
      <c r="B9" s="6" t="s">
        <v>47</v>
      </c>
      <c r="C9" s="10" t="n">
        <v>240000</v>
      </c>
      <c r="D9" s="8" t="s">
        <v>48</v>
      </c>
    </row>
    <row r="10" customFormat="false" ht="21.75" hidden="false" customHeight="true" outlineLevel="0" collapsed="false">
      <c r="B10" s="6" t="s">
        <v>49</v>
      </c>
      <c r="C10" s="10" t="n">
        <v>300000</v>
      </c>
      <c r="D10" s="8" t="s">
        <v>50</v>
      </c>
    </row>
  </sheetData>
  <mergeCells count="2"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2:O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5" min="4" style="0" width="15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3" min="12" style="0" width="9"/>
    <col collapsed="false" customWidth="true" hidden="false" outlineLevel="0" max="14" min="14" style="0" width="14"/>
    <col collapsed="false" customWidth="true" hidden="false" outlineLevel="0" max="15" min="15" style="0" width="12"/>
  </cols>
  <sheetData>
    <row r="2" customFormat="false" ht="22.05" hidden="false" customHeight="false" outlineLevel="0" collapsed="false">
      <c r="A2" s="1" t="s">
        <v>51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2" t="s">
        <v>52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customFormat="false" ht="42" hidden="false" customHeight="true" outlineLevel="0" collapsed="false">
      <c r="A5" s="11" t="s">
        <v>53</v>
      </c>
      <c r="B5" s="11" t="s">
        <v>54</v>
      </c>
      <c r="C5" s="11" t="s">
        <v>55</v>
      </c>
      <c r="D5" s="11" t="s">
        <v>56</v>
      </c>
      <c r="E5" s="11" t="s">
        <v>57</v>
      </c>
      <c r="F5" s="11" t="s">
        <v>58</v>
      </c>
      <c r="G5" s="11" t="s">
        <v>59</v>
      </c>
      <c r="H5" s="11" t="s">
        <v>60</v>
      </c>
      <c r="I5" s="11" t="s">
        <v>61</v>
      </c>
      <c r="J5" s="11" t="s">
        <v>62</v>
      </c>
      <c r="K5" s="11" t="s">
        <v>63</v>
      </c>
      <c r="L5" s="11" t="s">
        <v>64</v>
      </c>
      <c r="M5" s="11" t="s">
        <v>65</v>
      </c>
      <c r="N5" s="11" t="s">
        <v>66</v>
      </c>
      <c r="O5" s="11" t="s">
        <v>67</v>
      </c>
    </row>
    <row r="6" customFormat="false" ht="15" hidden="false" customHeight="false" outlineLevel="0" collapsed="false">
      <c r="A6" s="12" t="s">
        <v>68</v>
      </c>
      <c r="B6" s="13" t="n">
        <v>0.08</v>
      </c>
      <c r="C6" s="13" t="n">
        <v>0.07</v>
      </c>
      <c r="D6" s="10" t="n">
        <v>18000</v>
      </c>
      <c r="E6" s="14" t="n">
        <f aca="false">D6</f>
        <v>18000</v>
      </c>
      <c r="F6" s="10" t="n">
        <v>22000</v>
      </c>
      <c r="G6" s="14" t="n">
        <f aca="false">F6</f>
        <v>22000</v>
      </c>
      <c r="H6" s="14" t="n">
        <f aca="false">Setup!$C$9*B6</f>
        <v>19200</v>
      </c>
      <c r="I6" s="14" t="n">
        <f aca="false">Setup!$C$9*C6</f>
        <v>16800</v>
      </c>
      <c r="J6" s="14" t="n">
        <f aca="false">I6-E6</f>
        <v>-1200</v>
      </c>
      <c r="K6" s="14" t="n">
        <f aca="false">I6-H6</f>
        <v>-2400</v>
      </c>
      <c r="L6" s="15" t="n">
        <f aca="false">IFERROR(I6/E6,"-")</f>
        <v>0.933333333333333</v>
      </c>
      <c r="M6" s="15" t="n">
        <f aca="false">IFERROR(I6/H6,"-")</f>
        <v>0.875</v>
      </c>
      <c r="N6" s="14" t="n">
        <f aca="false">G6-E6</f>
        <v>4000</v>
      </c>
      <c r="O6" s="16" t="n">
        <f aca="false">IFERROR(N6/G6,"-")</f>
        <v>0.181818181818182</v>
      </c>
    </row>
    <row r="7" customFormat="false" ht="15" hidden="false" customHeight="false" outlineLevel="0" collapsed="false">
      <c r="A7" s="12" t="s">
        <v>69</v>
      </c>
      <c r="B7" s="13" t="n">
        <v>0.17</v>
      </c>
      <c r="C7" s="13" t="n">
        <v>0.15</v>
      </c>
      <c r="D7" s="10" t="n">
        <v>20000</v>
      </c>
      <c r="E7" s="17" t="n">
        <f aca="false">E6+D7</f>
        <v>38000</v>
      </c>
      <c r="F7" s="10" t="n">
        <v>25000</v>
      </c>
      <c r="G7" s="17" t="n">
        <f aca="false">G6+F7</f>
        <v>47000</v>
      </c>
      <c r="H7" s="17" t="n">
        <f aca="false">Setup!$C$9*B7</f>
        <v>40800</v>
      </c>
      <c r="I7" s="17" t="n">
        <f aca="false">Setup!$C$9*C7</f>
        <v>36000</v>
      </c>
      <c r="J7" s="17" t="n">
        <f aca="false">I7-E7</f>
        <v>-2000</v>
      </c>
      <c r="K7" s="17" t="n">
        <f aca="false">I7-H7</f>
        <v>-4800</v>
      </c>
      <c r="L7" s="18" t="n">
        <f aca="false">IFERROR(I7/E7,"-")</f>
        <v>0.947368421052632</v>
      </c>
      <c r="M7" s="18" t="n">
        <f aca="false">IFERROR(I7/H7,"-")</f>
        <v>0.882352941176471</v>
      </c>
      <c r="N7" s="17" t="n">
        <f aca="false">G7-E7</f>
        <v>9000</v>
      </c>
      <c r="O7" s="19" t="n">
        <f aca="false">IFERROR(N7/G7,"-")</f>
        <v>0.191489361702128</v>
      </c>
    </row>
    <row r="8" customFormat="false" ht="15" hidden="false" customHeight="false" outlineLevel="0" collapsed="false">
      <c r="A8" s="12" t="s">
        <v>70</v>
      </c>
      <c r="B8" s="13" t="n">
        <v>0.25</v>
      </c>
      <c r="C8" s="13" t="n">
        <v>0.24</v>
      </c>
      <c r="D8" s="10" t="n">
        <v>19500</v>
      </c>
      <c r="E8" s="14" t="n">
        <f aca="false">E7+D8</f>
        <v>57500</v>
      </c>
      <c r="F8" s="10" t="n">
        <v>24000</v>
      </c>
      <c r="G8" s="14" t="n">
        <f aca="false">G7+F8</f>
        <v>71000</v>
      </c>
      <c r="H8" s="14" t="n">
        <f aca="false">Setup!$C$9*B8</f>
        <v>60000</v>
      </c>
      <c r="I8" s="14" t="n">
        <f aca="false">Setup!$C$9*C8</f>
        <v>57600</v>
      </c>
      <c r="J8" s="14" t="n">
        <f aca="false">I8-E8</f>
        <v>100</v>
      </c>
      <c r="K8" s="14" t="n">
        <f aca="false">I8-H8</f>
        <v>-2400</v>
      </c>
      <c r="L8" s="15" t="n">
        <f aca="false">IFERROR(I8/E8,"-")</f>
        <v>1.00173913043478</v>
      </c>
      <c r="M8" s="15" t="n">
        <f aca="false">IFERROR(I8/H8,"-")</f>
        <v>0.96</v>
      </c>
      <c r="N8" s="14" t="n">
        <f aca="false">G8-E8</f>
        <v>13500</v>
      </c>
      <c r="O8" s="16" t="n">
        <f aca="false">IFERROR(N8/G8,"-")</f>
        <v>0.190140845070423</v>
      </c>
    </row>
    <row r="9" customFormat="false" ht="15" hidden="false" customHeight="false" outlineLevel="0" collapsed="false">
      <c r="A9" s="12" t="s">
        <v>71</v>
      </c>
      <c r="B9" s="13" t="n">
        <v>0.35</v>
      </c>
      <c r="C9" s="13" t="n">
        <v>0.3</v>
      </c>
      <c r="D9" s="10" t="n">
        <v>21000</v>
      </c>
      <c r="E9" s="17" t="n">
        <f aca="false">E8+D9</f>
        <v>78500</v>
      </c>
      <c r="F9" s="10" t="n">
        <v>20000</v>
      </c>
      <c r="G9" s="17" t="n">
        <f aca="false">G8+F9</f>
        <v>91000</v>
      </c>
      <c r="H9" s="17" t="n">
        <f aca="false">Setup!$C$9*B9</f>
        <v>84000</v>
      </c>
      <c r="I9" s="17" t="n">
        <f aca="false">Setup!$C$9*C9</f>
        <v>72000</v>
      </c>
      <c r="J9" s="17" t="n">
        <f aca="false">I9-E9</f>
        <v>-6500</v>
      </c>
      <c r="K9" s="17" t="n">
        <f aca="false">I9-H9</f>
        <v>-12000</v>
      </c>
      <c r="L9" s="18" t="n">
        <f aca="false">IFERROR(I9/E9,"-")</f>
        <v>0.917197452229299</v>
      </c>
      <c r="M9" s="18" t="n">
        <f aca="false">IFERROR(I9/H9,"-")</f>
        <v>0.857142857142857</v>
      </c>
      <c r="N9" s="17" t="n">
        <f aca="false">G9-E9</f>
        <v>12500</v>
      </c>
      <c r="O9" s="19" t="n">
        <f aca="false">IFERROR(N9/G9,"-")</f>
        <v>0.137362637362637</v>
      </c>
    </row>
    <row r="10" customFormat="false" ht="15" hidden="false" customHeight="false" outlineLevel="0" collapsed="false">
      <c r="A10" s="12" t="s">
        <v>72</v>
      </c>
      <c r="B10" s="13" t="n">
        <v>0.45</v>
      </c>
      <c r="C10" s="13" t="n">
        <v>0.4</v>
      </c>
      <c r="D10" s="10" t="n">
        <v>20500</v>
      </c>
      <c r="E10" s="14" t="n">
        <f aca="false">E9+D10</f>
        <v>99000</v>
      </c>
      <c r="F10" s="10" t="n">
        <v>26000</v>
      </c>
      <c r="G10" s="14" t="n">
        <f aca="false">G9+F10</f>
        <v>117000</v>
      </c>
      <c r="H10" s="14" t="n">
        <f aca="false">Setup!$C$9*B10</f>
        <v>108000</v>
      </c>
      <c r="I10" s="14" t="n">
        <f aca="false">Setup!$C$9*C10</f>
        <v>96000</v>
      </c>
      <c r="J10" s="14" t="n">
        <f aca="false">I10-E10</f>
        <v>-3000</v>
      </c>
      <c r="K10" s="14" t="n">
        <f aca="false">I10-H10</f>
        <v>-12000</v>
      </c>
      <c r="L10" s="15" t="n">
        <f aca="false">IFERROR(I10/E10,"-")</f>
        <v>0.96969696969697</v>
      </c>
      <c r="M10" s="15" t="n">
        <f aca="false">IFERROR(I10/H10,"-")</f>
        <v>0.888888888888889</v>
      </c>
      <c r="N10" s="14" t="n">
        <f aca="false">G10-E10</f>
        <v>18000</v>
      </c>
      <c r="O10" s="16" t="n">
        <f aca="false">IFERROR(N10/G10,"-")</f>
        <v>0.153846153846154</v>
      </c>
    </row>
    <row r="11" customFormat="false" ht="15" hidden="false" customHeight="false" outlineLevel="0" collapsed="false">
      <c r="A11" s="12" t="s">
        <v>73</v>
      </c>
      <c r="B11" s="13" t="n">
        <v>0.55</v>
      </c>
      <c r="C11" s="13" t="n">
        <v>0.52</v>
      </c>
      <c r="D11" s="10" t="n">
        <v>22000</v>
      </c>
      <c r="E11" s="17" t="n">
        <f aca="false">E10+D11</f>
        <v>121000</v>
      </c>
      <c r="F11" s="10" t="n">
        <v>28000</v>
      </c>
      <c r="G11" s="17" t="n">
        <f aca="false">G10+F11</f>
        <v>145000</v>
      </c>
      <c r="H11" s="17" t="n">
        <f aca="false">Setup!$C$9*B11</f>
        <v>132000</v>
      </c>
      <c r="I11" s="17" t="n">
        <f aca="false">Setup!$C$9*C11</f>
        <v>124800</v>
      </c>
      <c r="J11" s="17" t="n">
        <f aca="false">I11-E11</f>
        <v>3800</v>
      </c>
      <c r="K11" s="17" t="n">
        <f aca="false">I11-H11</f>
        <v>-7200</v>
      </c>
      <c r="L11" s="18" t="n">
        <f aca="false">IFERROR(I11/E11,"-")</f>
        <v>1.03140495867769</v>
      </c>
      <c r="M11" s="18" t="n">
        <f aca="false">IFERROR(I11/H11,"-")</f>
        <v>0.945454545454545</v>
      </c>
      <c r="N11" s="17" t="n">
        <f aca="false">G11-E11</f>
        <v>24000</v>
      </c>
      <c r="O11" s="19" t="n">
        <f aca="false">IFERROR(N11/G11,"-")</f>
        <v>0.16551724137931</v>
      </c>
    </row>
    <row r="13" customFormat="false" ht="15" hidden="false" customHeight="false" outlineLevel="0" collapsed="false">
      <c r="A13" s="20" t="s">
        <v>74</v>
      </c>
      <c r="E13" s="21" t="n">
        <f aca="false">E11</f>
        <v>121000</v>
      </c>
      <c r="G13" s="21" t="n">
        <f aca="false">G11</f>
        <v>145000</v>
      </c>
      <c r="H13" s="21" t="n">
        <f aca="false">H11</f>
        <v>132000</v>
      </c>
      <c r="I13" s="21" t="n">
        <f aca="false">I11</f>
        <v>124800</v>
      </c>
      <c r="J13" s="21" t="n">
        <f aca="false">J11</f>
        <v>3800</v>
      </c>
      <c r="K13" s="21" t="n">
        <f aca="false">K11</f>
        <v>-7200</v>
      </c>
      <c r="L13" s="22" t="n">
        <f aca="false">L11</f>
        <v>1.03140495867769</v>
      </c>
      <c r="M13" s="22" t="n">
        <f aca="false">M11</f>
        <v>0.945454545454545</v>
      </c>
      <c r="N13" s="21" t="n">
        <f aca="false">N11</f>
        <v>24000</v>
      </c>
      <c r="O13" s="23" t="n">
        <f aca="false">O11</f>
        <v>0.16551724137931</v>
      </c>
    </row>
  </sheetData>
  <mergeCells count="2">
    <mergeCell ref="A2:O2"/>
    <mergeCell ref="A3:O3"/>
  </mergeCells>
  <conditionalFormatting sqref="J6:J11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conditionalFormatting sqref="K6:K11">
    <cfRule type="cellIs" priority="4" operator="lessThan" aboveAverage="0" equalAverage="0" bottom="0" percent="0" rank="0" text="" dxfId="0">
      <formula>0</formula>
    </cfRule>
    <cfRule type="cellIs" priority="5" operator="greaterThanOrEqual" aboveAverage="0" equalAverage="0" bottom="0" percent="0" rank="0" text="" dxfId="1">
      <formula>0</formula>
    </cfRule>
  </conditionalFormatting>
  <conditionalFormatting sqref="N6:N11">
    <cfRule type="cellIs" priority="6" operator="lessThan" aboveAverage="0" equalAverage="0" bottom="0" percent="0" rank="0" text="" dxfId="0">
      <formula>0</formula>
    </cfRule>
    <cfRule type="cellIs" priority="7" operator="greaterThanOrEqual" aboveAverage="0" equalAverage="0" bottom="0" percent="0" rank="0" text="" dxfId="1">
      <formula>0</formula>
    </cfRule>
  </conditionalFormatting>
  <conditionalFormatting sqref="L6:L11">
    <cfRule type="cellIs" priority="8" operator="lessThan" aboveAverage="0" equalAverage="0" bottom="0" percent="0" rank="0" text="" dxfId="0">
      <formula>1</formula>
    </cfRule>
    <cfRule type="cellIs" priority="9" operator="greaterThanOrEqual" aboveAverage="0" equalAverage="0" bottom="0" percent="0" rank="0" text="" dxfId="1">
      <formula>1</formula>
    </cfRule>
  </conditionalFormatting>
  <conditionalFormatting sqref="M6:M11">
    <cfRule type="cellIs" priority="10" operator="lessThan" aboveAverage="0" equalAverage="0" bottom="0" percent="0" rank="0" text="" dxfId="0">
      <formula>1</formula>
    </cfRule>
    <cfRule type="cellIs" priority="11" operator="greaterThanOrEqual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B2:K19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1" min="2" style="0" width="16"/>
    <col collapsed="false" customWidth="true" hidden="false" outlineLevel="0" max="12" min="12" style="0" width="3"/>
  </cols>
  <sheetData>
    <row r="2" customFormat="false" ht="22.05" hidden="false" customHeight="false" outlineLevel="0" collapsed="false">
      <c r="B2" s="1" t="s">
        <v>75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B3" s="2" t="str">
        <f aca="false">"Project: "&amp;Setup!$C$5&amp;"   |   As of: "&amp;'Monthly Tracking'!A11&amp;"   |   Currency: "&amp;Setup!$C$6</f>
        <v>Project: Riverside Client Portal   |   As of: Jun 2026   |   Currency: USD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15" hidden="false" customHeight="false" outlineLevel="0" collapsed="false">
      <c r="B5" s="24" t="s">
        <v>76</v>
      </c>
      <c r="C5" s="24"/>
      <c r="D5" s="24" t="s">
        <v>77</v>
      </c>
      <c r="E5" s="24"/>
      <c r="F5" s="24" t="s">
        <v>78</v>
      </c>
      <c r="G5" s="24"/>
      <c r="H5" s="24" t="s">
        <v>79</v>
      </c>
      <c r="I5" s="24"/>
    </row>
    <row r="6" customFormat="false" ht="25.5" hidden="false" customHeight="true" outlineLevel="0" collapsed="false">
      <c r="B6" s="25" t="n">
        <f aca="false">Setup!$C$9</f>
        <v>240000</v>
      </c>
      <c r="C6" s="25"/>
      <c r="D6" s="25" t="n">
        <f aca="false">'Monthly Tracking'!$E$13</f>
        <v>121000</v>
      </c>
      <c r="E6" s="25"/>
      <c r="F6" s="25" t="n">
        <f aca="false">'Monthly Tracking'!$G$13</f>
        <v>145000</v>
      </c>
      <c r="G6" s="25"/>
      <c r="H6" s="25" t="n">
        <f aca="false">'Monthly Tracking'!$N$13</f>
        <v>24000</v>
      </c>
      <c r="I6" s="25"/>
    </row>
    <row r="8" customFormat="false" ht="15" hidden="false" customHeight="false" outlineLevel="0" collapsed="false">
      <c r="B8" s="24" t="s">
        <v>80</v>
      </c>
      <c r="C8" s="24"/>
      <c r="D8" s="24" t="s">
        <v>81</v>
      </c>
      <c r="E8" s="24"/>
      <c r="F8" s="24" t="s">
        <v>82</v>
      </c>
      <c r="G8" s="24"/>
      <c r="H8" s="24" t="s">
        <v>83</v>
      </c>
      <c r="I8" s="24"/>
    </row>
    <row r="9" customFormat="false" ht="25.5" hidden="false" customHeight="true" outlineLevel="0" collapsed="false">
      <c r="B9" s="25" t="n">
        <f aca="false">'Monthly Tracking'!$I$13</f>
        <v>124800</v>
      </c>
      <c r="C9" s="25"/>
      <c r="D9" s="25" t="n">
        <f aca="false">'Monthly Tracking'!$J$13</f>
        <v>3800</v>
      </c>
      <c r="E9" s="25"/>
      <c r="F9" s="26" t="n">
        <f aca="false">'Monthly Tracking'!$L$13</f>
        <v>1.03140495867769</v>
      </c>
      <c r="G9" s="26"/>
      <c r="H9" s="26" t="n">
        <f aca="false">'Monthly Tracking'!$M$13</f>
        <v>0.945454545454545</v>
      </c>
      <c r="I9" s="26"/>
    </row>
    <row r="12" customFormat="false" ht="15" hidden="false" customHeight="false" outlineLevel="0" collapsed="false">
      <c r="B12" s="3" t="s">
        <v>84</v>
      </c>
    </row>
    <row r="13" customFormat="false" ht="26.85" hidden="false" customHeight="false" outlineLevel="0" collapsed="false">
      <c r="B13" s="27" t="s">
        <v>53</v>
      </c>
      <c r="C13" s="27" t="s">
        <v>85</v>
      </c>
      <c r="D13" s="27" t="s">
        <v>77</v>
      </c>
      <c r="E13" s="27" t="s">
        <v>78</v>
      </c>
      <c r="F13" s="27" t="s">
        <v>80</v>
      </c>
    </row>
    <row r="14" customFormat="false" ht="15" hidden="false" customHeight="false" outlineLevel="0" collapsed="false">
      <c r="B14" s="28" t="str">
        <f aca="false">'Monthly Tracking'!A6</f>
        <v>Jan 2026</v>
      </c>
      <c r="C14" s="29" t="n">
        <f aca="false">'Monthly Tracking'!H6</f>
        <v>19200</v>
      </c>
      <c r="D14" s="29" t="n">
        <f aca="false">'Monthly Tracking'!E6</f>
        <v>18000</v>
      </c>
      <c r="E14" s="29" t="n">
        <f aca="false">'Monthly Tracking'!G6</f>
        <v>22000</v>
      </c>
      <c r="F14" s="29" t="n">
        <f aca="false">'Monthly Tracking'!I6</f>
        <v>16800</v>
      </c>
    </row>
    <row r="15" customFormat="false" ht="15" hidden="false" customHeight="false" outlineLevel="0" collapsed="false">
      <c r="B15" s="28" t="str">
        <f aca="false">'Monthly Tracking'!A7</f>
        <v>Feb 2026</v>
      </c>
      <c r="C15" s="29" t="n">
        <f aca="false">'Monthly Tracking'!H7</f>
        <v>40800</v>
      </c>
      <c r="D15" s="29" t="n">
        <f aca="false">'Monthly Tracking'!E7</f>
        <v>38000</v>
      </c>
      <c r="E15" s="29" t="n">
        <f aca="false">'Monthly Tracking'!G7</f>
        <v>47000</v>
      </c>
      <c r="F15" s="29" t="n">
        <f aca="false">'Monthly Tracking'!I7</f>
        <v>36000</v>
      </c>
    </row>
    <row r="16" customFormat="false" ht="15" hidden="false" customHeight="false" outlineLevel="0" collapsed="false">
      <c r="B16" s="28" t="str">
        <f aca="false">'Monthly Tracking'!A8</f>
        <v>Mar 2026</v>
      </c>
      <c r="C16" s="29" t="n">
        <f aca="false">'Monthly Tracking'!H8</f>
        <v>60000</v>
      </c>
      <c r="D16" s="29" t="n">
        <f aca="false">'Monthly Tracking'!E8</f>
        <v>57500</v>
      </c>
      <c r="E16" s="29" t="n">
        <f aca="false">'Monthly Tracking'!G8</f>
        <v>71000</v>
      </c>
      <c r="F16" s="29" t="n">
        <f aca="false">'Monthly Tracking'!I8</f>
        <v>57600</v>
      </c>
    </row>
    <row r="17" customFormat="false" ht="15" hidden="false" customHeight="false" outlineLevel="0" collapsed="false">
      <c r="B17" s="28" t="str">
        <f aca="false">'Monthly Tracking'!A9</f>
        <v>Apr 2026</v>
      </c>
      <c r="C17" s="29" t="n">
        <f aca="false">'Monthly Tracking'!H9</f>
        <v>84000</v>
      </c>
      <c r="D17" s="29" t="n">
        <f aca="false">'Monthly Tracking'!E9</f>
        <v>78500</v>
      </c>
      <c r="E17" s="29" t="n">
        <f aca="false">'Monthly Tracking'!G9</f>
        <v>91000</v>
      </c>
      <c r="F17" s="29" t="n">
        <f aca="false">'Monthly Tracking'!I9</f>
        <v>72000</v>
      </c>
    </row>
    <row r="18" customFormat="false" ht="15" hidden="false" customHeight="false" outlineLevel="0" collapsed="false">
      <c r="B18" s="28" t="str">
        <f aca="false">'Monthly Tracking'!A10</f>
        <v>May 2026</v>
      </c>
      <c r="C18" s="29" t="n">
        <f aca="false">'Monthly Tracking'!H10</f>
        <v>108000</v>
      </c>
      <c r="D18" s="29" t="n">
        <f aca="false">'Monthly Tracking'!E10</f>
        <v>99000</v>
      </c>
      <c r="E18" s="29" t="n">
        <f aca="false">'Monthly Tracking'!G10</f>
        <v>117000</v>
      </c>
      <c r="F18" s="29" t="n">
        <f aca="false">'Monthly Tracking'!I10</f>
        <v>96000</v>
      </c>
    </row>
    <row r="19" customFormat="false" ht="15" hidden="false" customHeight="false" outlineLevel="0" collapsed="false">
      <c r="B19" s="28" t="str">
        <f aca="false">'Monthly Tracking'!A11</f>
        <v>Jun 2026</v>
      </c>
      <c r="C19" s="29" t="n">
        <f aca="false">'Monthly Tracking'!H11</f>
        <v>132000</v>
      </c>
      <c r="D19" s="29" t="n">
        <f aca="false">'Monthly Tracking'!E11</f>
        <v>121000</v>
      </c>
      <c r="E19" s="29" t="n">
        <f aca="false">'Monthly Tracking'!G11</f>
        <v>145000</v>
      </c>
      <c r="F19" s="29" t="n">
        <f aca="false">'Monthly Tracking'!I11</f>
        <v>124800</v>
      </c>
    </row>
  </sheetData>
  <mergeCells count="18">
    <mergeCell ref="B2:K2"/>
    <mergeCell ref="B3:K3"/>
    <mergeCell ref="B5:C5"/>
    <mergeCell ref="D5:E5"/>
    <mergeCell ref="F5:G5"/>
    <mergeCell ref="H5:I5"/>
    <mergeCell ref="B6:C6"/>
    <mergeCell ref="D6:E6"/>
    <mergeCell ref="F6:G6"/>
    <mergeCell ref="H6:I6"/>
    <mergeCell ref="B8:C8"/>
    <mergeCell ref="D8:E8"/>
    <mergeCell ref="F8:G8"/>
    <mergeCell ref="H8:I8"/>
    <mergeCell ref="B9:C9"/>
    <mergeCell ref="D9:E9"/>
    <mergeCell ref="F9:G9"/>
    <mergeCell ref="H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2026-09-10T05:24:57Z</dcterms:created>
  <dc:creator>openpyxl</dc:creator>
  <dc:description/>
  <dc:language>en-US</dc:language>
  <cp:lastModifiedBy/>
  <dcterms:modified xsi:type="dcterms:W3CDTF">2026-09-10T05:43:01Z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